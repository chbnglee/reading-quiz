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M_1075\Documents\GitHub\reading-quiz\OG0005\"/>
    </mc:Choice>
  </mc:AlternateContent>
  <xr:revisionPtr revIDLastSave="0" documentId="13_ncr:1_{629F05A4-BBF1-4468-BD85-FDABB9381A53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QUIZ_LIST" sheetId="1" r:id="rId1"/>
    <sheet name="Q01_SEQUENCING" sheetId="2" r:id="rId2"/>
    <sheet name="Q02_SENT_MATCH" sheetId="3" r:id="rId3"/>
    <sheet name="Q03_UNSCRAMBLE" sheetId="4" r:id="rId4"/>
    <sheet name="Q04_EMOTION" sheetId="5" r:id="rId5"/>
    <sheet name="Q05_CHAR_GOAL" sheetId="6" r:id="rId6"/>
    <sheet name="Q06_MAIN_IDEA" sheetId="7" r:id="rId7"/>
    <sheet name="SCORING_RULES" sheetId="8" r:id="rId8"/>
    <sheet name="LRS_MAPPI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4" l="1"/>
  <c r="F14" i="4"/>
  <c r="F13" i="4"/>
  <c r="F12" i="4"/>
  <c r="F11" i="4"/>
  <c r="F10" i="4"/>
  <c r="F9" i="4"/>
  <c r="F8" i="4"/>
  <c r="D14" i="2"/>
  <c r="F13" i="2"/>
  <c r="F12" i="2"/>
  <c r="F11" i="2"/>
  <c r="F10" i="2"/>
  <c r="F9" i="2"/>
  <c r="F15" i="4" l="1"/>
  <c r="F14" i="2"/>
  <c r="G9" i="4"/>
  <c r="G12" i="4"/>
  <c r="G13" i="4"/>
  <c r="G10" i="4"/>
  <c r="G14" i="4"/>
  <c r="G8" i="4"/>
  <c r="G11" i="4"/>
</calcChain>
</file>

<file path=xl/sharedStrings.xml><?xml version="1.0" encoding="utf-8"?>
<sst xmlns="http://schemas.openxmlformats.org/spreadsheetml/2006/main" count="511" uniqueCount="367">
  <si>
    <t>OG0005 Reading Quiz — Master List (Podo and Didi)</t>
  </si>
  <si>
    <t>Q_ID</t>
  </si>
  <si>
    <t>Quiz Type</t>
  </si>
  <si>
    <t>Story Grammar Element</t>
  </si>
  <si>
    <t>Question (EN)</t>
  </si>
  <si>
    <t>Scene Ref</t>
  </si>
  <si>
    <t>Answer Sheet</t>
  </si>
  <si>
    <t>Max Score</t>
  </si>
  <si>
    <t>LRS sg_element</t>
  </si>
  <si>
    <t>Scoring Mode</t>
  </si>
  <si>
    <t>Sheet Ref</t>
  </si>
  <si>
    <t>Q01</t>
  </si>
  <si>
    <t>Scene Sequencing</t>
  </si>
  <si>
    <t>Setting→IE→Attempt→Consequence→Resolution</t>
  </si>
  <si>
    <t>Put the 5 scenes in story order.</t>
  </si>
  <si>
    <t>SC02/SC03/SC05/SC07/SC12</t>
  </si>
  <si>
    <t>SC02-SC03-SC05-SC07-SC12</t>
  </si>
  <si>
    <t>100</t>
  </si>
  <si>
    <t>setting,initiating_event,attempt,consequence,resolution</t>
  </si>
  <si>
    <t>Weighted Position</t>
  </si>
  <si>
    <t>Q01_SEQUENCING</t>
  </si>
  <si>
    <t>Q02</t>
  </si>
  <si>
    <t>Sentence-Scene Match</t>
  </si>
  <si>
    <t>Initiating Event</t>
  </si>
  <si>
    <t>Listen and choose the matching scene.</t>
  </si>
  <si>
    <t>SC03/SC02/SC05/SC09</t>
  </si>
  <si>
    <t>SC02</t>
  </si>
  <si>
    <t>initiating_event</t>
  </si>
  <si>
    <t>Weighted MCQ</t>
  </si>
  <si>
    <t>Q02_SENT_MATCH</t>
  </si>
  <si>
    <t>Q03</t>
  </si>
  <si>
    <t>Sentence Unscramble</t>
  </si>
  <si>
    <t>Attempt</t>
  </si>
  <si>
    <t>Put the words in order to make a sentence.</t>
  </si>
  <si>
    <t>-</t>
  </si>
  <si>
    <t>By trapping it, you extinguished its light.</t>
  </si>
  <si>
    <t>attempt</t>
  </si>
  <si>
    <t>Weighted Unscramble</t>
  </si>
  <si>
    <t>Q03_UNSCRAMBLE</t>
  </si>
  <si>
    <t>Q04</t>
  </si>
  <si>
    <t>Emotion Identification</t>
  </si>
  <si>
    <t>Reaction / Internal Response</t>
  </si>
  <si>
    <t>How does Didi feel in this scene?</t>
  </si>
  <si>
    <t>SC08</t>
  </si>
  <si>
    <t>Option B</t>
  </si>
  <si>
    <t>reaction</t>
  </si>
  <si>
    <t>Q04_EMOTION</t>
  </si>
  <si>
    <t>Q05</t>
  </si>
  <si>
    <t>Character Goal MCQ</t>
  </si>
  <si>
    <t>Initiating Event / Goal</t>
  </si>
  <si>
    <t>What does Didi want at the start of the story?</t>
  </si>
  <si>
    <t>Option A</t>
  </si>
  <si>
    <t>Q05_CHAR_GOAL</t>
  </si>
  <si>
    <t>Q06</t>
  </si>
  <si>
    <t>Main Idea MCQ</t>
  </si>
  <si>
    <t>Theme / Resolution</t>
  </si>
  <si>
    <t>What lesson did Didi learn from this experience?</t>
  </si>
  <si>
    <t>theme</t>
  </si>
  <si>
    <t>Q06_MAIN_IDEA</t>
  </si>
  <si>
    <t>Each question sheet defines per-option/position scores and weights. The HTML file reads this workbook via SheetJS to render the live quiz.</t>
  </si>
  <si>
    <t>Q01 — Scene Sequencing | Story Grammar: Full Arc</t>
  </si>
  <si>
    <t>Question: Put the 5 scene images in the correct story order by dragging them into position.</t>
  </si>
  <si>
    <t>Scenes provided:  OG0005_SC02_I  |  OG0005_SC03_I  |  OG0005_SC05_I  |  OG0005_SC07_I  |  OG0005_SC12_I</t>
  </si>
  <si>
    <t>Correct Answer: SC02 → SC03 → SC05 → SC07 → SC12</t>
  </si>
  <si>
    <t>Story Grammar: SC02=Initiating Event (cloud appears) | SC03=1st Observation (Didi notices) | SC05=Attempt (captures cloud) | SC07=Consequence (cloud turns gray) | SC12=Resolution (cloud freed)</t>
  </si>
  <si>
    <t>SECTION A — Position Weight per Scene</t>
  </si>
  <si>
    <t>Scene Asset</t>
  </si>
  <si>
    <t>Correct Pos</t>
  </si>
  <si>
    <t>Story Grammar Role</t>
  </si>
  <si>
    <t>Position Weight</t>
  </si>
  <si>
    <t>Weight Rationale</t>
  </si>
  <si>
    <t>Max Points</t>
  </si>
  <si>
    <t>OG0005_SC02_I</t>
  </si>
  <si>
    <t>Initiating Event (rainbow cloud appears)</t>
  </si>
  <si>
    <t>Unambiguous opening event. Placing wrong = cannot identify story trigger.</t>
  </si>
  <si>
    <t>OG0005_SC03_I</t>
  </si>
  <si>
    <t>1st Observation (Didi notices cloud)</t>
  </si>
  <si>
    <t>Clear observation scene; SC03/SC05 confusion is forgivable — both mid-story.</t>
  </si>
  <si>
    <t>OG0005_SC05_I</t>
  </si>
  <si>
    <t>Attempt (Didi captures cloud)</t>
  </si>
  <si>
    <t>Action scene similar to SC03; mixing these two penalized less.</t>
  </si>
  <si>
    <t>OG0005_SC07_I</t>
  </si>
  <si>
    <t>Consequence (cloud turns gray)</t>
  </si>
  <si>
    <t>Consequence scene; close to SC05 thematically — smaller penalty for adjacency.</t>
  </si>
  <si>
    <t>OG0005_SC12_I</t>
  </si>
  <si>
    <t>Resolution (cloud freed, colors return)</t>
  </si>
  <si>
    <t>Unambiguous final scene. Placing wrong = fundamental arc gap.</t>
  </si>
  <si>
    <t>TOTAL</t>
  </si>
  <si>
    <t>SECTION B — Score Matrix: Points per (Scene, Submitted Position)</t>
  </si>
  <si>
    <t>Scene \ Submitted Pos</t>
  </si>
  <si>
    <t>Pos 1</t>
  </si>
  <si>
    <t>Pos 2</t>
  </si>
  <si>
    <t>Pos 3</t>
  </si>
  <si>
    <t>Pos 4</t>
  </si>
  <si>
    <t>Pos 5</t>
  </si>
  <si>
    <t>SECTION C — Example Answer Scores</t>
  </si>
  <si>
    <t>Example Student Answer</t>
  </si>
  <si>
    <t>Submitted Order</t>
  </si>
  <si>
    <t>Score</t>
  </si>
  <si>
    <t>Interpretation</t>
  </si>
  <si>
    <t>Perfect</t>
  </si>
  <si>
    <t>Full story arc understood</t>
  </si>
  <si>
    <t>SC05/SC07 swapped</t>
  </si>
  <si>
    <t>SC02-SC03-SC07-SC05-SC12</t>
  </si>
  <si>
    <t>Adjacent attempt/consequence swap — mild penalty</t>
  </si>
  <si>
    <t>Middle scrambled</t>
  </si>
  <si>
    <t>SC02-SC07-SC05-SC03-SC12</t>
  </si>
  <si>
    <t>Anchor scenes correct; internal sequence weak</t>
  </si>
  <si>
    <t>Beginning/end wrong</t>
  </si>
  <si>
    <t>SC03-SC02-SC12-SC07-SC05</t>
  </si>
  <si>
    <t>Story arc fundamentally misunderstood</t>
  </si>
  <si>
    <t>LRS: verb="answered" | object="quiz_OG0005_Q01_sequencing" | result.sg_element="setting,initiating_event,attempt,consequence,resolution" | result.sequence_submitted=[] | result.score_raw=&lt;n&gt; | result.position_scores={}</t>
  </si>
  <si>
    <t>Q02 — Sentence-Scene Match | Story Grammar: Initiating Event</t>
  </si>
  <si>
    <t>Question: Listen to the sentence. Which scene image does this sentence come from?</t>
  </si>
  <si>
    <t>Target Sentence (SC02_ST01_N): "But look! A rainbow stardust cloud is drifting close to Tiny Rock!"</t>
  </si>
  <si>
    <t>audio_src: Audio/OG0005_SC02_ST01_N_A.mp3</t>
  </si>
  <si>
    <t>Option</t>
  </si>
  <si>
    <t>Scene Image</t>
  </si>
  <si>
    <t>Scene Description</t>
  </si>
  <si>
    <t>Correct?</t>
  </si>
  <si>
    <t>Distractor Rationale</t>
  </si>
  <si>
    <t>Weakness Signal</t>
  </si>
  <si>
    <t>A</t>
  </si>
  <si>
    <t>Didi observes the cloud closely</t>
  </si>
  <si>
    <t>NO</t>
  </si>
  <si>
    <t>Attempt (observation)</t>
  </si>
  <si>
    <t>SC03 is immediately after SC02 — easy to confuse as "the cloud scene"</t>
  </si>
  <si>
    <t>Identifies cloud context but cannot pinpoint the exact initiating moment</t>
  </si>
  <si>
    <t>B</t>
  </si>
  <si>
    <t>Rainbow stardust cloud drifts toward Tiny Rock</t>
  </si>
  <si>
    <t>YES</t>
  </si>
  <si>
    <t>—</t>
  </si>
  <si>
    <t>C</t>
  </si>
  <si>
    <t>Didi traps the cloud in a jar</t>
  </si>
  <si>
    <t>Attempt (capture)</t>
  </si>
  <si>
    <t>Also involves cloud but is the action scene — confuses problem with attempt</t>
  </si>
  <si>
    <t>Understands cloud is central; cannot map sentence to specific moment</t>
  </si>
  <si>
    <t>D</t>
  </si>
  <si>
    <t>OG0005_SC09_I</t>
  </si>
  <si>
    <t>Podo explains to Didi about light</t>
  </si>
  <si>
    <t>Consequence / Turning Point</t>
  </si>
  <si>
    <t>Completely different scene; student likely guessing</t>
  </si>
  <si>
    <t>No literal comprehension of the sentence</t>
  </si>
  <si>
    <t>consequence</t>
  </si>
  <si>
    <t>LRS: verb="answered" | object="quiz_OG0005_Q02_sent_match" | result.sg_element="initiating_event" | result.option_selected=&lt;A/B/C/D&gt; | result.score_raw=&lt;n&gt;</t>
  </si>
  <si>
    <t>Q03 — Sentence Unscramble | Story Grammar: Attempt</t>
  </si>
  <si>
    <t>Question: The words below are mixed up. Drag them into the correct order to make a sentence.</t>
  </si>
  <si>
    <t>Source: SC05 narration  |  Correct: "By trapping it, you extinguished its light."</t>
  </si>
  <si>
    <t>Scrambled tokens presented to student: [ By ] [ trapping ] [ it, ] [ you ] [ extinguished ] [ its ] [ light. ]  (7 tokens — Level 2)</t>
  </si>
  <si>
    <t>SECTION A — Per-Word Position Weight</t>
  </si>
  <si>
    <t>Word Token</t>
  </si>
  <si>
    <t>Grammatical Role</t>
  </si>
  <si>
    <t>Word Weight</t>
  </si>
  <si>
    <t>Cumulative</t>
  </si>
  <si>
    <t>By</t>
  </si>
  <si>
    <t>Preposition (adverbial clause opener)</t>
  </si>
  <si>
    <t>Marks adverbial structure; wrong placement = cannot parse complex sentence opener</t>
  </si>
  <si>
    <t>trapping</t>
  </si>
  <si>
    <t>Gerund / main verb of subordinate clause</t>
  </si>
  <si>
    <t>High-value academic verb; core meaning word — misplacing = semantic breakdown</t>
  </si>
  <si>
    <t>it,</t>
  </si>
  <si>
    <t>Object pronoun of subordinate clause</t>
  </si>
  <si>
    <t>Shortest/lightest token; confusion here is forgivable — function word</t>
  </si>
  <si>
    <t>you</t>
  </si>
  <si>
    <t>Subject of main clause</t>
  </si>
  <si>
    <t>Pronoun subject; swapping with "its" = pronoun case confusion</t>
  </si>
  <si>
    <t>extinguished</t>
  </si>
  <si>
    <t>Main verb (past tense, high-level vocab)</t>
  </si>
  <si>
    <t>Highest-difficulty word; correct placement shows vocabulary + syntax mastery</t>
  </si>
  <si>
    <t>its</t>
  </si>
  <si>
    <t>Possessive pronoun (modifying "light")</t>
  </si>
  <si>
    <t>Determiner; swapping with "you" = common pronoun confusion</t>
  </si>
  <si>
    <t>light.</t>
  </si>
  <si>
    <t>Object noun / sentence closer</t>
  </si>
  <si>
    <t>Closing content word; missing = incomplete predicate understanding</t>
  </si>
  <si>
    <t>100 check</t>
  </si>
  <si>
    <t>SECTION B — Partial Score Examples</t>
  </si>
  <si>
    <t>Student Answer</t>
  </si>
  <si>
    <t>Correct Positions</t>
  </si>
  <si>
    <t>7/7</t>
  </si>
  <si>
    <t>By trapping it, you extinguished light. its</t>
  </si>
  <si>
    <t>6/7 (its/light swapped)</t>
  </si>
  <si>
    <t>Possessive determiner closing structure</t>
  </si>
  <si>
    <t>By trapping it, its you extinguished light.</t>
  </si>
  <si>
    <t>4/7 (pronoun confusion)</t>
  </si>
  <si>
    <t>Pronoun + verb-object ordering</t>
  </si>
  <si>
    <t>trapping By it, you extinguished its light.</t>
  </si>
  <si>
    <t>5/7 (By/trapping swapped)</t>
  </si>
  <si>
    <t>Adverbial clause opener syntax</t>
  </si>
  <si>
    <t>you extinguished its light. By trapping it,</t>
  </si>
  <si>
    <t>2/7 (clauses reversed)</t>
  </si>
  <si>
    <t>Complex sentence clause ordering</t>
  </si>
  <si>
    <t>light. its extinguished you it, trapping By</t>
  </si>
  <si>
    <t>0/7</t>
  </si>
  <si>
    <t>No syntactic understanding; likely guessing</t>
  </si>
  <si>
    <t>LRS: verb="answered" | object="quiz_OG0005_Q03_unscramble" | result.sg_element="attempt" | result.word_order_submitted=[] | result.score_raw=&lt;n&gt; | result.words_correct=&lt;n&gt;/7</t>
  </si>
  <si>
    <t>Q04 — Emotion Identification MCQ | Story Grammar: Reaction / Internal Response</t>
  </si>
  <si>
    <t>Question: Look at scene SC08. How does Didi feel in this scene?</t>
  </si>
  <si>
    <t>Source: SC08 — Didi sees the rainbow cloud has turned completely gray in the jar.  Emotion = Disappointed / Sad</t>
  </si>
  <si>
    <t>Option Text</t>
  </si>
  <si>
    <t>Distractor Type</t>
  </si>
  <si>
    <t>Frustrated</t>
  </si>
  <si>
    <t>Internal Response (near-miss)</t>
  </si>
  <si>
    <t>Adjacent negative emotion</t>
  </si>
  <si>
    <t>Recognizes negative valence but misreads intensity level — frustration implies blocked goal, disappointment implies lost hope</t>
  </si>
  <si>
    <t>Emotion at valence level only; cannot distinguish frustrated vs disappointed</t>
  </si>
  <si>
    <t>internal_response</t>
  </si>
  <si>
    <t>Disappointed</t>
  </si>
  <si>
    <t>Correct</t>
  </si>
  <si>
    <t>SC08 emotion confirmed — cloud turned gray, hope lost</t>
  </si>
  <si>
    <t>Happy</t>
  </si>
  <si>
    <t>Internal Response mismatch</t>
  </si>
  <si>
    <t>Opposite emotion</t>
  </si>
  <si>
    <t>Confuses resolution scene emotion with SC08</t>
  </si>
  <si>
    <t>Cannot map emotions to specific moments; temporal confusion</t>
  </si>
  <si>
    <t>Shocked</t>
  </si>
  <si>
    <t>Surface reaction read</t>
  </si>
  <si>
    <t>Initial reaction distractor</t>
  </si>
  <si>
    <t>Shock is momentary; disappointed is sustained — student reads surface not depth</t>
  </si>
  <si>
    <t>Reads immediate facial cue; misses sustained emotional state</t>
  </si>
  <si>
    <t>LRS: verb="answered" | object="quiz_OG0005_Q04_emotion" | result.sg_element="reaction" | result.option_selected=&lt;A/B/C/D&gt; | result.score_raw=&lt;n&gt; | result.semantic_distance=&lt;0.0-1.0&gt;</t>
  </si>
  <si>
    <t>Q05 — Character Goal MCQ | Story Grammar: Initiating Event / Goal</t>
  </si>
  <si>
    <t>Question: What does Didi want at the start of the story?</t>
  </si>
  <si>
    <t>Didi's goal: To capture and keep a piece of the rainbow stardust cloud (SC02-SC05 arc).</t>
  </si>
  <si>
    <t>To capture a piece of the rainbow cloud.</t>
  </si>
  <si>
    <t>To travel across the universe with Podo.</t>
  </si>
  <si>
    <t>Unrelated detail</t>
  </si>
  <si>
    <t>Wild distractor</t>
  </si>
  <si>
    <t>Podo is present but travel is never a stated goal</t>
  </si>
  <si>
    <t>Random selection or no character goal understanding</t>
  </si>
  <si>
    <t>To share the cloud's beauty with friends.</t>
  </si>
  <si>
    <t>Goal misread (altruistic reframe)</t>
  </si>
  <si>
    <t>Partial goal</t>
  </si>
  <si>
    <t>Student softens Didi's selfish possession drive into sharing</t>
  </si>
  <si>
    <t>Cannot distinguish "keep for self" from "share" — moral reframing of goal</t>
  </si>
  <si>
    <t>To learn why stardust clouds glow.</t>
  </si>
  <si>
    <t>Curiosity misread</t>
  </si>
  <si>
    <t>Cognitive distractor</t>
  </si>
  <si>
    <t>Interprets action as scientific curiosity rather than possessive desire</t>
  </si>
  <si>
    <t>Reads surface behavior not character motivation; inferencing gap</t>
  </si>
  <si>
    <t>LRS: verb="answered" | object="quiz_OG0005_Q05_char_goal" | result.sg_element="initiating_event" | result.option_selected=&lt;A/B/C/D&gt; | result.score_raw=&lt;n&gt;</t>
  </si>
  <si>
    <t>Q06 — Main Idea MCQ | Story Grammar: Theme / Resolution</t>
  </si>
  <si>
    <t>Question: What lesson did Didi learn from this experience?</t>
  </si>
  <si>
    <t>Theme: True beauty exists in freedom and the natural world — capturing it destroys what makes it beautiful. (SC12 resolution arc)</t>
  </si>
  <si>
    <t>Stardust clouds are made of beautiful colors.</t>
  </si>
  <si>
    <t>Setting detail</t>
  </si>
  <si>
    <t>Literal distractor</t>
  </si>
  <si>
    <t>Takes visual/factual description as message; reading at surface level</t>
  </si>
  <si>
    <t>Cannot abstract theme from plot; literal reading only</t>
  </si>
  <si>
    <t>setting</t>
  </si>
  <si>
    <t>True beauty belongs to the open sky, not a shelf.</t>
  </si>
  <si>
    <t>Correctly captures freedom-vs-possession arc from SC05 through SC12</t>
  </si>
  <si>
    <t>It is important to always listen to your friend's advice.</t>
  </si>
  <si>
    <t>Attempt / Relationship misread</t>
  </si>
  <si>
    <t>Partial theme (process focus)</t>
  </si>
  <si>
    <t>Podo gives advice which Didi ignores — student focuses on the interpersonal lesson not the deeper beauty/freedom theme</t>
  </si>
  <si>
    <t>Mid-level comprehension; identifies supporting lesson not central theme</t>
  </si>
  <si>
    <t>Capturing rare things is a way to keep their beauty forever.</t>
  </si>
  <si>
    <t>Anti-theme</t>
  </si>
  <si>
    <t>Opposite meaning</t>
  </si>
  <si>
    <t>Directly contradicts the story's message — student may not have processed the consequence arc</t>
  </si>
  <si>
    <t>No thematic understanding; possibly read only first half of story</t>
  </si>
  <si>
    <t>LRS: verb="answered" | object="quiz_OG0005_Q06_main_idea" | result.sg_element="theme" | result.option_selected=&lt;A/B/C/D&gt; | result.score_raw=&lt;n&gt; | result.semantic_distance=&lt;0.0-1.0&gt;</t>
  </si>
  <si>
    <t>Global Scoring Rules — OG0005 Reading Quiz</t>
  </si>
  <si>
    <t>SECTION A — Score Band Interpretation</t>
  </si>
  <si>
    <t>Band</t>
  </si>
  <si>
    <t>Score Range</t>
  </si>
  <si>
    <t>Color</t>
  </si>
  <si>
    <t>LRS Risk Signal</t>
  </si>
  <si>
    <t>SG Insight</t>
  </si>
  <si>
    <t>MRI Profile Impact</t>
  </si>
  <si>
    <t>Recommendation</t>
  </si>
  <si>
    <t>Mastery</t>
  </si>
  <si>
    <t>85-100</t>
  </si>
  <si>
    <t>Green</t>
  </si>
  <si>
    <t>None</t>
  </si>
  <si>
    <t>Full SG element understood</t>
  </si>
  <si>
    <t>V+/L+ in profile</t>
  </si>
  <si>
    <t>Proceed to next level</t>
  </si>
  <si>
    <t>Developing</t>
  </si>
  <si>
    <t>60-84</t>
  </si>
  <si>
    <t>Gold</t>
  </si>
  <si>
    <t>Meaning Signal (mild)</t>
  </si>
  <si>
    <t>Partial narrative understanding</t>
  </si>
  <si>
    <t>V0 — maintain level</t>
  </si>
  <si>
    <t>Review target scene</t>
  </si>
  <si>
    <t>Emerging</t>
  </si>
  <si>
    <t>30-59</t>
  </si>
  <si>
    <t>Orange</t>
  </si>
  <si>
    <t>Meaning Signal (moderate)</t>
  </si>
  <si>
    <t>Surface/literal only</t>
  </si>
  <si>
    <t>V- — flag for booster</t>
  </si>
  <si>
    <t>Assign Booster Content</t>
  </si>
  <si>
    <t>Beginning</t>
  </si>
  <si>
    <t>0-29</t>
  </si>
  <si>
    <t>Red</t>
  </si>
  <si>
    <t>Meaning Signal (strong)</t>
  </si>
  <si>
    <t>Fundamental gap; guessing</t>
  </si>
  <si>
    <t>V-- — priority intervention</t>
  </si>
  <si>
    <t>Comprehension Booster + re-read</t>
  </si>
  <si>
    <t>SECTION B — Weighting Rationale by Story Grammar Element</t>
  </si>
  <si>
    <t>SG Element</t>
  </si>
  <si>
    <t>Quiz Coverage</t>
  </si>
  <si>
    <t>Why Weighted</t>
  </si>
  <si>
    <t>LRS Engine</t>
  </si>
  <si>
    <t>Weakness Signal if Missed</t>
  </si>
  <si>
    <t>Setting (Tiny Rock planet)</t>
  </si>
  <si>
    <t>Q01 (SC02, anchor pos 1)</t>
  </si>
  <si>
    <t>Entry anchor — gate to story world and all events</t>
  </si>
  <si>
    <t>Vocab &amp; Comprehension Engine</t>
  </si>
  <si>
    <t>Literal comprehension dependency</t>
  </si>
  <si>
    <t>Q01 (SC03), Q02, Q05</t>
  </si>
  <si>
    <t>Core problem-formation; misidentifying = no narrative schema</t>
  </si>
  <si>
    <t>Inferencing weakness</t>
  </si>
  <si>
    <t>Attempt (cloud capture)</t>
  </si>
  <si>
    <t>Q01 (SC05), Q03</t>
  </si>
  <si>
    <t>Complex sentence decoding (By trapping it...); confusion = sequential processing gap</t>
  </si>
  <si>
    <t>Semantic Decision Stability + Vocabulary gap</t>
  </si>
  <si>
    <t>Consequence / Reaction</t>
  </si>
  <si>
    <t>Q01 (SC07), Q04</t>
  </si>
  <si>
    <t>Emotional scene + cause-effect link — confusion = emotion inference gap</t>
  </si>
  <si>
    <t>Expression Engine</t>
  </si>
  <si>
    <t>Emotion inference (Expression Signal)</t>
  </si>
  <si>
    <t>Resolution (cloud freed)</t>
  </si>
  <si>
    <t>Q01 (SC12, anchor pos 5), Q06</t>
  </si>
  <si>
    <t>Exit anchor — without this, theme extraction fails</t>
  </si>
  <si>
    <t>Inferencing / Story Transfer weakness</t>
  </si>
  <si>
    <t>Theme</t>
  </si>
  <si>
    <t>Highest-order comprehension — requires abstract reasoning beyond literal events</t>
  </si>
  <si>
    <t>V&amp;C Engine + Expression Engine</t>
  </si>
  <si>
    <t>Limited reasoning (Expression Signal)</t>
  </si>
  <si>
    <t>Internal Response (Emotion)</t>
  </si>
  <si>
    <t>Moment-level emotion mapping at advanced vocabulary level</t>
  </si>
  <si>
    <t>Perspective taking + emotion vocabulary weakness</t>
  </si>
  <si>
    <t>SECTION C — MRI Profile Contribution</t>
  </si>
  <si>
    <t>Quiz scores feed into Vocabulary &amp; Comprehension Engine (V-score) and partially Expression Engine (L-score).</t>
  </si>
  <si>
    <t>Parent Report (3-tier): Level (e.g. Lv4 — Vocabulary Retrieval) | Detail Profile: P3/V1/L2 | Risk Points: Inferencing weakness / Emotion identification gap</t>
  </si>
  <si>
    <t>SECTION D — Q03 Complexity Note (Level 2)</t>
  </si>
  <si>
    <t>OG0005 Q03 uses a 7-word adverbial-clause sentence ("By trapping it, you extinguished its light.") vs OG0021's 5-word simple sentence. This reflects Level 2 complexity. Scoring uses weighted_sequence across 7 positions; total weight = 12.5. Academic verb "extinguished" and gerund "trapping" carry highest weights (2.5 each).</t>
  </si>
  <si>
    <t>LRS xAPI Mapping — OG0005 Quiz Statements</t>
  </si>
  <si>
    <t>xAPI Verb</t>
  </si>
  <si>
    <t>xAPI Object</t>
  </si>
  <si>
    <t>result.sg_element</t>
  </si>
  <si>
    <t>result.score_raw</t>
  </si>
  <si>
    <t>result.correct</t>
  </si>
  <si>
    <t>Extra Fields</t>
  </si>
  <si>
    <t>Risk Signal</t>
  </si>
  <si>
    <t>answered</t>
  </si>
  <si>
    <t>quiz_OG0005_Q01_sequencing</t>
  </si>
  <si>
    <t>0-100</t>
  </si>
  <si>
    <t>partial</t>
  </si>
  <si>
    <t>sequence_submitted[], position_scores{}</t>
  </si>
  <si>
    <t>Meaning Signal if &lt;60</t>
  </si>
  <si>
    <t>quiz_OG0005_Q02_sent_match</t>
  </si>
  <si>
    <t>true/false</t>
  </si>
  <si>
    <t>option_selected, response_latency_ms</t>
  </si>
  <si>
    <t>Meaning Signal if option!=B</t>
  </si>
  <si>
    <t>quiz_OG0005_Q03_unscramble</t>
  </si>
  <si>
    <t>word_order_submitted[], words_correct/7</t>
  </si>
  <si>
    <t>quiz_OG0005_Q04_emotion</t>
  </si>
  <si>
    <t>option_selected, semantic_distance</t>
  </si>
  <si>
    <t>Expression Signal if &lt;40 (emotion inference)</t>
  </si>
  <si>
    <t>quiz_OG0005_Q05_char_goal</t>
  </si>
  <si>
    <t>Meaning Signal if option!=A</t>
  </si>
  <si>
    <t>quiz_OG0005_Q06_main_idea</t>
  </si>
  <si>
    <t>Expression Signal if &lt;30 (limited reasoning)</t>
  </si>
  <si>
    <t>Single LRS storage (xAPI). V&amp;C Engine reads sg_element + score_raw for Q01-Q05. Expression Engine reads Q04/Q06 semantic_distance. MRI report: V-level (Q01-Q05) + L-level (Q04, Q06).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</si>
</sst>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0"/>
      <color rgb="FFFFFFFF"/>
      <name val="Calibri"/>
    </font>
    <font>
      <sz val="10"/>
      <color rgb="FF4B5563"/>
      <name val="Calibri"/>
    </font>
    <font>
      <i/>
      <sz val="9"/>
      <color rgb="FF6B7280"/>
      <name val="Calibri"/>
    </font>
    <font>
      <b/>
      <sz val="10"/>
      <color rgb="FF5B21B6"/>
      <name val="Calibri"/>
    </font>
    <font>
      <b/>
      <sz val="10"/>
      <name val="Calibri"/>
    </font>
    <font>
      <b/>
      <sz val="12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F5F3FF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ECFDF5"/>
      </patternFill>
    </fill>
    <fill>
      <patternFill patternType="solid">
        <fgColor rgb="FFFEF3C7"/>
      </patternFill>
    </fill>
    <fill>
      <patternFill patternType="solid">
        <fgColor rgb="FFFFEDD5"/>
      </patternFill>
    </fill>
    <fill>
      <patternFill patternType="solid">
        <fgColor rgb="FFFEF2F2"/>
      </patternFill>
    </fill>
    <fill>
      <patternFill patternType="solid">
        <fgColor rgb="FFDBEAFE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BDD7EE"/>
      </patternFill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FFCCCC"/>
      </patternFill>
    </fill>
    <fill>
      <patternFill patternType="solid">
        <fgColor rgb="FFFFEECC"/>
      </patternFill>
    </fill>
  </fills>
  <borders count="7">
    <border>
      <left/>
      <right/>
      <top/>
      <bottom/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/>
      <right/>
      <top style="thin">
        <color rgb="FFC4B5FD"/>
      </top>
      <bottom style="thin">
        <color rgb="FFC4B5FD"/>
      </bottom>
      <diagonal/>
    </border>
    <border>
      <left/>
      <right style="thin">
        <color rgb="FFC4B5FD"/>
      </right>
      <top style="thin">
        <color rgb="FFC4B5FD"/>
      </top>
      <bottom style="thin">
        <color rgb="FFC4B5F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rgb="FFC4B5FD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0" fillId="0" borderId="0" xfId="0"/>
    <xf numFmtId="0" fontId="8" fillId="11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left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center" vertical="center"/>
    </xf>
    <xf numFmtId="0" fontId="0" fillId="0" borderId="4" xfId="0" applyBorder="1"/>
    <xf numFmtId="0" fontId="11" fillId="0" borderId="4" xfId="0" applyFont="1" applyBorder="1" applyAlignment="1">
      <alignment vertical="center" wrapText="1"/>
    </xf>
    <xf numFmtId="0" fontId="11" fillId="14" borderId="4" xfId="0" applyFont="1" applyFill="1" applyBorder="1" applyAlignment="1">
      <alignment horizontal="left" vertical="center"/>
    </xf>
    <xf numFmtId="0" fontId="12" fillId="15" borderId="4" xfId="0" applyFont="1" applyFill="1" applyBorder="1" applyAlignment="1">
      <alignment horizontal="center" vertical="center"/>
    </xf>
    <xf numFmtId="0" fontId="13" fillId="16" borderId="4" xfId="0" applyFont="1" applyFill="1" applyBorder="1" applyAlignment="1">
      <alignment horizontal="center" vertical="center"/>
    </xf>
    <xf numFmtId="0" fontId="13" fillId="17" borderId="4" xfId="0" applyFont="1" applyFill="1" applyBorder="1" applyAlignment="1">
      <alignment horizontal="center" vertical="center"/>
    </xf>
    <xf numFmtId="0" fontId="14" fillId="14" borderId="4" xfId="0" applyFont="1" applyFill="1" applyBorder="1" applyAlignment="1">
      <alignment horizontal="center" vertical="center" wrapText="1"/>
    </xf>
    <xf numFmtId="0" fontId="9" fillId="15" borderId="4" xfId="0" applyFont="1" applyFill="1" applyBorder="1" applyAlignment="1">
      <alignment horizontal="left" vertical="center" wrapText="1"/>
    </xf>
    <xf numFmtId="0" fontId="9" fillId="16" borderId="4" xfId="0" applyFont="1" applyFill="1" applyBorder="1" applyAlignment="1">
      <alignment horizontal="left" vertical="center" wrapText="1"/>
    </xf>
    <xf numFmtId="0" fontId="9" fillId="17" borderId="4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3" fillId="0" borderId="0" xfId="0" applyFont="1" applyAlignment="1">
      <alignment wrapText="1"/>
    </xf>
    <xf numFmtId="0" fontId="0" fillId="0" borderId="0" xfId="0"/>
    <xf numFmtId="0" fontId="10" fillId="10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left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11" borderId="0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left" vertical="center" wrapText="1"/>
    </xf>
    <xf numFmtId="0" fontId="8" fillId="11" borderId="0" xfId="0" applyFont="1" applyFill="1" applyAlignment="1">
      <alignment horizontal="center" vertical="center" wrapText="1"/>
    </xf>
    <xf numFmtId="0" fontId="11" fillId="13" borderId="0" xfId="0" applyFont="1" applyFill="1" applyAlignment="1">
      <alignment horizontal="left" vertical="center" wrapText="1"/>
    </xf>
    <xf numFmtId="0" fontId="11" fillId="12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2" fillId="9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0" fillId="10" borderId="4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9" fillId="12" borderId="4" xfId="0" applyFont="1" applyFill="1" applyBorder="1" applyAlignment="1">
      <alignment horizontal="left" vertical="center" wrapText="1"/>
    </xf>
    <xf numFmtId="0" fontId="0" fillId="0" borderId="0" xfId="0" applyBorder="1"/>
    <xf numFmtId="0" fontId="9" fillId="18" borderId="4" xfId="0" applyFont="1" applyFill="1" applyBorder="1" applyAlignment="1">
      <alignment horizontal="left" vertical="center" wrapText="1"/>
    </xf>
    <xf numFmtId="0" fontId="10" fillId="10" borderId="6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top" wrapText="1"/>
    </xf>
    <xf numFmtId="0" fontId="9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sqref="A1:J1"/>
    </sheetView>
  </sheetViews>
  <sheetFormatPr defaultRowHeight="16.899999999999999" x14ac:dyDescent="0.6"/>
  <cols>
    <col min="1" max="1" width="8" customWidth="1"/>
    <col min="2" max="2" width="18" customWidth="1"/>
    <col min="3" max="3" width="22" customWidth="1"/>
    <col min="4" max="4" width="20" customWidth="1"/>
    <col min="5" max="6" width="14" customWidth="1"/>
    <col min="7" max="7" width="16" customWidth="1"/>
    <col min="8" max="9" width="22" customWidth="1"/>
    <col min="10" max="10" width="16" customWidth="1"/>
  </cols>
  <sheetData>
    <row r="1" spans="1:10" ht="28.15" customHeight="1" x14ac:dyDescent="0.6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30" customHeight="1" x14ac:dyDescent="0.6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pans="1:10" ht="28.15" customHeight="1" x14ac:dyDescent="0.6">
      <c r="A3" s="10" t="s">
        <v>11</v>
      </c>
      <c r="B3" s="10" t="s">
        <v>12</v>
      </c>
      <c r="C3" s="10" t="s">
        <v>13</v>
      </c>
      <c r="D3" s="10" t="s">
        <v>14</v>
      </c>
      <c r="E3" s="10" t="s">
        <v>15</v>
      </c>
      <c r="F3" s="10" t="s">
        <v>16</v>
      </c>
      <c r="G3" s="10" t="s">
        <v>17</v>
      </c>
      <c r="H3" s="10" t="s">
        <v>18</v>
      </c>
      <c r="I3" s="10" t="s">
        <v>19</v>
      </c>
      <c r="J3" s="10" t="s">
        <v>20</v>
      </c>
    </row>
    <row r="4" spans="1:10" ht="28.15" customHeight="1" x14ac:dyDescent="0.6">
      <c r="A4" s="10" t="s">
        <v>21</v>
      </c>
      <c r="B4" s="10" t="s">
        <v>22</v>
      </c>
      <c r="C4" s="10" t="s">
        <v>23</v>
      </c>
      <c r="D4" s="10" t="s">
        <v>24</v>
      </c>
      <c r="E4" s="10" t="s">
        <v>25</v>
      </c>
      <c r="F4" s="10" t="s">
        <v>26</v>
      </c>
      <c r="G4" s="10" t="s">
        <v>17</v>
      </c>
      <c r="H4" s="10" t="s">
        <v>27</v>
      </c>
      <c r="I4" s="10" t="s">
        <v>28</v>
      </c>
      <c r="J4" s="10" t="s">
        <v>29</v>
      </c>
    </row>
    <row r="5" spans="1:10" ht="28.15" customHeight="1" x14ac:dyDescent="0.6">
      <c r="A5" s="10" t="s">
        <v>30</v>
      </c>
      <c r="B5" s="10" t="s">
        <v>31</v>
      </c>
      <c r="C5" s="10" t="s">
        <v>32</v>
      </c>
      <c r="D5" s="10" t="s">
        <v>33</v>
      </c>
      <c r="E5" s="10" t="s">
        <v>34</v>
      </c>
      <c r="F5" s="10" t="s">
        <v>35</v>
      </c>
      <c r="G5" s="10" t="s">
        <v>17</v>
      </c>
      <c r="H5" s="10" t="s">
        <v>36</v>
      </c>
      <c r="I5" s="10" t="s">
        <v>37</v>
      </c>
      <c r="J5" s="10" t="s">
        <v>38</v>
      </c>
    </row>
    <row r="6" spans="1:10" ht="28.15" customHeight="1" x14ac:dyDescent="0.6">
      <c r="A6" s="10" t="s">
        <v>39</v>
      </c>
      <c r="B6" s="10" t="s">
        <v>40</v>
      </c>
      <c r="C6" s="10" t="s">
        <v>41</v>
      </c>
      <c r="D6" s="10" t="s">
        <v>42</v>
      </c>
      <c r="E6" s="10" t="s">
        <v>43</v>
      </c>
      <c r="F6" s="10" t="s">
        <v>44</v>
      </c>
      <c r="G6" s="10" t="s">
        <v>17</v>
      </c>
      <c r="H6" s="10" t="s">
        <v>45</v>
      </c>
      <c r="I6" s="10" t="s">
        <v>28</v>
      </c>
      <c r="J6" s="10" t="s">
        <v>46</v>
      </c>
    </row>
    <row r="7" spans="1:10" ht="28.15" customHeight="1" x14ac:dyDescent="0.6">
      <c r="A7" s="10" t="s">
        <v>47</v>
      </c>
      <c r="B7" s="10" t="s">
        <v>48</v>
      </c>
      <c r="C7" s="10" t="s">
        <v>49</v>
      </c>
      <c r="D7" s="10" t="s">
        <v>50</v>
      </c>
      <c r="E7" s="10" t="s">
        <v>34</v>
      </c>
      <c r="F7" s="10" t="s">
        <v>51</v>
      </c>
      <c r="G7" s="10" t="s">
        <v>17</v>
      </c>
      <c r="H7" s="10" t="s">
        <v>27</v>
      </c>
      <c r="I7" s="10" t="s">
        <v>28</v>
      </c>
      <c r="J7" s="10" t="s">
        <v>52</v>
      </c>
    </row>
    <row r="8" spans="1:10" ht="28.15" customHeight="1" x14ac:dyDescent="0.6">
      <c r="A8" s="10" t="s">
        <v>53</v>
      </c>
      <c r="B8" s="10" t="s">
        <v>54</v>
      </c>
      <c r="C8" s="10" t="s">
        <v>55</v>
      </c>
      <c r="D8" s="10" t="s">
        <v>56</v>
      </c>
      <c r="E8" s="10" t="s">
        <v>34</v>
      </c>
      <c r="F8" s="10" t="s">
        <v>44</v>
      </c>
      <c r="G8" s="10" t="s">
        <v>17</v>
      </c>
      <c r="H8" s="10" t="s">
        <v>57</v>
      </c>
      <c r="I8" s="10" t="s">
        <v>28</v>
      </c>
      <c r="J8" s="10" t="s">
        <v>58</v>
      </c>
    </row>
    <row r="10" spans="1:10" x14ac:dyDescent="0.6">
      <c r="A10" s="30" t="s">
        <v>59</v>
      </c>
      <c r="B10" s="31"/>
      <c r="C10" s="31"/>
      <c r="D10" s="31"/>
      <c r="E10" s="31"/>
      <c r="F10" s="31"/>
      <c r="G10" s="31"/>
      <c r="H10" s="31"/>
      <c r="I10" s="31"/>
      <c r="J10" s="31"/>
    </row>
  </sheetData>
  <mergeCells count="2">
    <mergeCell ref="A1:J1"/>
    <mergeCell ref="A10:J10"/>
  </mergeCells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selection activeCell="F27" sqref="F27"/>
    </sheetView>
  </sheetViews>
  <sheetFormatPr defaultRowHeight="16.899999999999999" x14ac:dyDescent="0.6"/>
  <cols>
    <col min="1" max="1" width="8" customWidth="1"/>
    <col min="2" max="2" width="14" customWidth="1"/>
    <col min="3" max="3" width="30" customWidth="1"/>
    <col min="4" max="5" width="12" customWidth="1"/>
    <col min="6" max="6" width="14" customWidth="1"/>
    <col min="7" max="8" width="12" customWidth="1"/>
    <col min="9" max="9" width="20" customWidth="1"/>
    <col min="10" max="10" width="22" customWidth="1"/>
  </cols>
  <sheetData>
    <row r="1" spans="1:10" ht="26" customHeight="1" x14ac:dyDescent="0.6">
      <c r="A1" s="32" t="s">
        <v>60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22.05" customHeight="1" x14ac:dyDescent="0.6">
      <c r="A2" s="40" t="s">
        <v>61</v>
      </c>
      <c r="B2" s="31"/>
      <c r="C2" s="31"/>
      <c r="D2" s="31"/>
      <c r="E2" s="31"/>
      <c r="F2" s="31"/>
      <c r="G2" s="31"/>
      <c r="H2" s="31"/>
      <c r="I2" s="31"/>
      <c r="J2" s="31"/>
    </row>
    <row r="3" spans="1:10" ht="22.05" customHeight="1" x14ac:dyDescent="0.6">
      <c r="A3" s="37" t="s">
        <v>62</v>
      </c>
      <c r="B3" s="31"/>
      <c r="C3" s="31"/>
      <c r="D3" s="31"/>
      <c r="E3" s="31"/>
      <c r="F3" s="31"/>
      <c r="G3" s="31"/>
      <c r="H3" s="31"/>
      <c r="I3" s="31"/>
      <c r="J3" s="31"/>
    </row>
    <row r="4" spans="1:10" ht="22.05" customHeight="1" x14ac:dyDescent="0.6">
      <c r="A4" s="39" t="s">
        <v>63</v>
      </c>
      <c r="B4" s="31"/>
      <c r="C4" s="31"/>
      <c r="D4" s="31"/>
      <c r="E4" s="31"/>
      <c r="F4" s="31"/>
      <c r="G4" s="31"/>
      <c r="H4" s="31"/>
      <c r="I4" s="31"/>
      <c r="J4" s="31"/>
    </row>
    <row r="5" spans="1:10" ht="22.05" customHeight="1" x14ac:dyDescent="0.6">
      <c r="A5" s="33" t="s">
        <v>64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ht="16.899999999999999" customHeight="1" x14ac:dyDescent="0.6"/>
    <row r="7" spans="1:10" ht="22.15" customHeight="1" x14ac:dyDescent="0.6">
      <c r="A7" s="34" t="s">
        <v>65</v>
      </c>
      <c r="B7" s="35"/>
      <c r="C7" s="35"/>
      <c r="D7" s="35"/>
      <c r="E7" s="35"/>
      <c r="F7" s="35"/>
      <c r="G7" s="35"/>
      <c r="H7" s="35"/>
      <c r="I7" s="35"/>
      <c r="J7" s="35"/>
    </row>
    <row r="8" spans="1:10" ht="31.5" customHeight="1" x14ac:dyDescent="0.6">
      <c r="A8" s="9" t="s">
        <v>66</v>
      </c>
      <c r="B8" s="9" t="s">
        <v>67</v>
      </c>
      <c r="C8" s="9" t="s">
        <v>68</v>
      </c>
      <c r="D8" s="9" t="s">
        <v>69</v>
      </c>
      <c r="E8" s="9" t="s">
        <v>70</v>
      </c>
      <c r="F8" s="9" t="s">
        <v>71</v>
      </c>
    </row>
    <row r="9" spans="1:10" ht="31.5" customHeight="1" x14ac:dyDescent="0.6">
      <c r="A9" s="12" t="s">
        <v>72</v>
      </c>
      <c r="B9" s="13">
        <v>1</v>
      </c>
      <c r="C9" s="12" t="s">
        <v>73</v>
      </c>
      <c r="D9" s="13">
        <v>2.5</v>
      </c>
      <c r="E9" s="12" t="s">
        <v>74</v>
      </c>
      <c r="F9" s="13">
        <f>D9/SUM($D$9:$D$13)*100</f>
        <v>26.315789473684209</v>
      </c>
    </row>
    <row r="10" spans="1:10" ht="31.5" customHeight="1" x14ac:dyDescent="0.6">
      <c r="A10" s="14" t="s">
        <v>75</v>
      </c>
      <c r="B10" s="15">
        <v>2</v>
      </c>
      <c r="C10" s="14" t="s">
        <v>76</v>
      </c>
      <c r="D10" s="15">
        <v>1.5</v>
      </c>
      <c r="E10" s="14" t="s">
        <v>77</v>
      </c>
      <c r="F10" s="15">
        <f>D10/SUM($D$9:$D$13)*100</f>
        <v>15.789473684210526</v>
      </c>
    </row>
    <row r="11" spans="1:10" ht="31.5" customHeight="1" x14ac:dyDescent="0.6">
      <c r="A11" s="14" t="s">
        <v>78</v>
      </c>
      <c r="B11" s="15">
        <v>3</v>
      </c>
      <c r="C11" s="14" t="s">
        <v>79</v>
      </c>
      <c r="D11" s="15">
        <v>1.5</v>
      </c>
      <c r="E11" s="14" t="s">
        <v>80</v>
      </c>
      <c r="F11" s="15">
        <f>D11/SUM($D$9:$D$13)*100</f>
        <v>15.789473684210526</v>
      </c>
    </row>
    <row r="12" spans="1:10" ht="31.5" customHeight="1" x14ac:dyDescent="0.6">
      <c r="A12" s="14" t="s">
        <v>81</v>
      </c>
      <c r="B12" s="15">
        <v>4</v>
      </c>
      <c r="C12" s="14" t="s">
        <v>82</v>
      </c>
      <c r="D12" s="15">
        <v>1.5</v>
      </c>
      <c r="E12" s="14" t="s">
        <v>83</v>
      </c>
      <c r="F12" s="15">
        <f>D12/SUM($D$9:$D$13)*100</f>
        <v>15.789473684210526</v>
      </c>
    </row>
    <row r="13" spans="1:10" ht="31.5" customHeight="1" x14ac:dyDescent="0.6">
      <c r="A13" s="12" t="s">
        <v>84</v>
      </c>
      <c r="B13" s="13">
        <v>5</v>
      </c>
      <c r="C13" s="12" t="s">
        <v>85</v>
      </c>
      <c r="D13" s="13">
        <v>2.5</v>
      </c>
      <c r="E13" s="12" t="s">
        <v>86</v>
      </c>
      <c r="F13" s="13">
        <f>D13/SUM($D$9:$D$13)*100</f>
        <v>26.315789473684209</v>
      </c>
    </row>
    <row r="14" spans="1:10" x14ac:dyDescent="0.6">
      <c r="A14" s="16" t="s">
        <v>87</v>
      </c>
      <c r="B14" s="17"/>
      <c r="C14" s="17"/>
      <c r="D14" s="16">
        <f>SUM(D9:D13)</f>
        <v>9.5</v>
      </c>
      <c r="E14" s="17"/>
      <c r="F14" s="16">
        <f>SUM(F9:F13)</f>
        <v>99.999999999999986</v>
      </c>
    </row>
    <row r="16" spans="1:10" ht="22.15" customHeight="1" x14ac:dyDescent="0.6">
      <c r="A16" s="38" t="s">
        <v>88</v>
      </c>
      <c r="B16" s="31"/>
      <c r="C16" s="31"/>
      <c r="D16" s="31"/>
      <c r="E16" s="31"/>
      <c r="F16" s="31"/>
      <c r="G16" s="31"/>
      <c r="H16" s="31"/>
      <c r="I16" s="31"/>
      <c r="J16" s="31"/>
    </row>
    <row r="17" spans="1:10" ht="39.4" x14ac:dyDescent="0.6">
      <c r="A17" s="18" t="s">
        <v>89</v>
      </c>
      <c r="B17" s="9" t="s">
        <v>90</v>
      </c>
      <c r="C17" s="9" t="s">
        <v>91</v>
      </c>
      <c r="D17" s="9" t="s">
        <v>92</v>
      </c>
      <c r="E17" s="9" t="s">
        <v>93</v>
      </c>
      <c r="F17" s="9" t="s">
        <v>94</v>
      </c>
    </row>
    <row r="18" spans="1:10" ht="22.15" customHeight="1" x14ac:dyDescent="0.6">
      <c r="A18" s="19" t="s">
        <v>72</v>
      </c>
      <c r="B18" s="20">
        <v>26.3</v>
      </c>
      <c r="C18" s="21">
        <v>13.2</v>
      </c>
      <c r="D18" s="22">
        <v>0</v>
      </c>
      <c r="E18" s="22">
        <v>0</v>
      </c>
      <c r="F18" s="22">
        <v>0</v>
      </c>
    </row>
    <row r="19" spans="1:10" ht="22.15" customHeight="1" x14ac:dyDescent="0.6">
      <c r="A19" s="19" t="s">
        <v>75</v>
      </c>
      <c r="B19" s="21">
        <v>7.9</v>
      </c>
      <c r="C19" s="20">
        <v>15.8</v>
      </c>
      <c r="D19" s="21">
        <v>7.9</v>
      </c>
      <c r="E19" s="22">
        <v>0</v>
      </c>
      <c r="F19" s="22">
        <v>0</v>
      </c>
    </row>
    <row r="20" spans="1:10" ht="22.15" customHeight="1" x14ac:dyDescent="0.6">
      <c r="A20" s="19" t="s">
        <v>78</v>
      </c>
      <c r="B20" s="22">
        <v>0</v>
      </c>
      <c r="C20" s="21">
        <v>7.9</v>
      </c>
      <c r="D20" s="20">
        <v>15.8</v>
      </c>
      <c r="E20" s="21">
        <v>7.9</v>
      </c>
      <c r="F20" s="22">
        <v>0</v>
      </c>
    </row>
    <row r="21" spans="1:10" ht="22.15" customHeight="1" x14ac:dyDescent="0.6">
      <c r="A21" s="19" t="s">
        <v>81</v>
      </c>
      <c r="B21" s="22">
        <v>0</v>
      </c>
      <c r="C21" s="22">
        <v>0</v>
      </c>
      <c r="D21" s="21">
        <v>7.9</v>
      </c>
      <c r="E21" s="20">
        <v>15.8</v>
      </c>
      <c r="F21" s="21">
        <v>7.9</v>
      </c>
    </row>
    <row r="22" spans="1:10" ht="22.15" customHeight="1" x14ac:dyDescent="0.6">
      <c r="A22" s="19" t="s">
        <v>84</v>
      </c>
      <c r="B22" s="22">
        <v>0</v>
      </c>
      <c r="C22" s="22">
        <v>0</v>
      </c>
      <c r="D22" s="22">
        <v>0</v>
      </c>
      <c r="E22" s="21">
        <v>13.2</v>
      </c>
      <c r="F22" s="20">
        <v>26.3</v>
      </c>
    </row>
    <row r="23" spans="1:10" ht="22.15" customHeight="1" x14ac:dyDescent="0.6"/>
    <row r="24" spans="1:10" ht="22.15" customHeight="1" x14ac:dyDescent="0.6">
      <c r="A24" s="36" t="s">
        <v>95</v>
      </c>
      <c r="B24" s="29"/>
      <c r="C24" s="29"/>
      <c r="D24" s="29"/>
      <c r="E24" s="31"/>
      <c r="F24" s="31"/>
      <c r="G24" s="31"/>
      <c r="H24" s="31"/>
      <c r="I24" s="31"/>
      <c r="J24" s="31"/>
    </row>
    <row r="25" spans="1:10" ht="47.25" x14ac:dyDescent="0.6">
      <c r="A25" s="23" t="s">
        <v>96</v>
      </c>
      <c r="B25" s="23" t="s">
        <v>97</v>
      </c>
      <c r="C25" s="23" t="s">
        <v>98</v>
      </c>
      <c r="D25" s="23" t="s">
        <v>99</v>
      </c>
    </row>
    <row r="26" spans="1:10" ht="26.25" x14ac:dyDescent="0.6">
      <c r="A26" s="10" t="s">
        <v>100</v>
      </c>
      <c r="B26" s="10" t="s">
        <v>16</v>
      </c>
      <c r="C26" s="24">
        <v>100</v>
      </c>
      <c r="D26" s="10" t="s">
        <v>101</v>
      </c>
    </row>
    <row r="27" spans="1:10" ht="52.5" x14ac:dyDescent="0.6">
      <c r="A27" s="10" t="s">
        <v>102</v>
      </c>
      <c r="B27" s="10" t="s">
        <v>103</v>
      </c>
      <c r="C27" s="25">
        <v>79</v>
      </c>
      <c r="D27" s="10" t="s">
        <v>104</v>
      </c>
    </row>
    <row r="28" spans="1:10" ht="39.4" x14ac:dyDescent="0.6">
      <c r="A28" s="10" t="s">
        <v>105</v>
      </c>
      <c r="B28" s="10" t="s">
        <v>106</v>
      </c>
      <c r="C28" s="26">
        <v>53</v>
      </c>
      <c r="D28" s="10" t="s">
        <v>107</v>
      </c>
    </row>
    <row r="29" spans="1:10" ht="39.4" x14ac:dyDescent="0.6">
      <c r="A29" s="10" t="s">
        <v>108</v>
      </c>
      <c r="B29" s="10" t="s">
        <v>109</v>
      </c>
      <c r="C29" s="26">
        <v>28</v>
      </c>
      <c r="D29" s="10" t="s">
        <v>110</v>
      </c>
    </row>
    <row r="30" spans="1:10" x14ac:dyDescent="0.6">
      <c r="A30" s="27"/>
      <c r="B30" s="27"/>
      <c r="D30" s="27"/>
    </row>
    <row r="31" spans="1:10" x14ac:dyDescent="0.6">
      <c r="A31" s="30" t="s">
        <v>111</v>
      </c>
      <c r="B31" s="31"/>
      <c r="C31" s="31"/>
      <c r="D31" s="31"/>
      <c r="E31" s="31"/>
      <c r="F31" s="31"/>
      <c r="G31" s="31"/>
      <c r="H31" s="31"/>
      <c r="I31" s="31"/>
      <c r="J31" s="31"/>
    </row>
  </sheetData>
  <mergeCells count="9">
    <mergeCell ref="A31:J31"/>
    <mergeCell ref="A1:J1"/>
    <mergeCell ref="A5:J5"/>
    <mergeCell ref="A7:J7"/>
    <mergeCell ref="A24:J24"/>
    <mergeCell ref="A3:J3"/>
    <mergeCell ref="A16:J16"/>
    <mergeCell ref="A4:J4"/>
    <mergeCell ref="A2:J2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D16" sqref="D16"/>
    </sheetView>
  </sheetViews>
  <sheetFormatPr defaultRowHeight="16.899999999999999" x14ac:dyDescent="0.6"/>
  <cols>
    <col min="1" max="1" width="8" customWidth="1"/>
    <col min="2" max="2" width="20" customWidth="1"/>
    <col min="3" max="3" width="36" customWidth="1"/>
    <col min="4" max="4" width="18" customWidth="1"/>
    <col min="5" max="6" width="14" customWidth="1"/>
    <col min="7" max="8" width="24" customWidth="1"/>
    <col min="9" max="9" width="22" customWidth="1"/>
  </cols>
  <sheetData>
    <row r="1" spans="1:9" ht="26" customHeight="1" x14ac:dyDescent="0.6">
      <c r="A1" s="49" t="s">
        <v>112</v>
      </c>
      <c r="B1" s="29"/>
      <c r="C1" s="29"/>
      <c r="D1" s="29"/>
      <c r="E1" s="29"/>
      <c r="F1" s="29"/>
      <c r="G1" s="29"/>
      <c r="H1" s="29"/>
      <c r="I1" s="29"/>
    </row>
    <row r="2" spans="1:9" ht="16.899999999999999" customHeight="1" x14ac:dyDescent="0.6">
      <c r="A2" s="50" t="s">
        <v>113</v>
      </c>
      <c r="B2" s="29"/>
      <c r="C2" s="29"/>
      <c r="D2" s="29"/>
      <c r="E2" s="29"/>
      <c r="F2" s="29"/>
      <c r="G2" s="29"/>
      <c r="H2" s="29"/>
      <c r="I2" s="29"/>
    </row>
    <row r="3" spans="1:9" ht="16.899999999999999" customHeight="1" x14ac:dyDescent="0.6">
      <c r="A3" s="51" t="s">
        <v>114</v>
      </c>
      <c r="B3" s="29"/>
      <c r="C3" s="29"/>
      <c r="D3" s="29"/>
      <c r="E3" s="29"/>
      <c r="F3" s="29"/>
      <c r="G3" s="29"/>
      <c r="H3" s="29"/>
      <c r="I3" s="29"/>
    </row>
    <row r="4" spans="1:9" s="8" customFormat="1" ht="16.899999999999999" customHeight="1" x14ac:dyDescent="0.6">
      <c r="A4" s="52"/>
      <c r="B4" s="52"/>
      <c r="C4" s="52"/>
      <c r="D4" s="52"/>
      <c r="E4" s="52"/>
      <c r="F4" s="52"/>
      <c r="G4" s="52"/>
      <c r="H4" s="52"/>
      <c r="I4" s="52"/>
    </row>
    <row r="5" spans="1:9" x14ac:dyDescent="0.6">
      <c r="A5" s="41" t="s">
        <v>115</v>
      </c>
      <c r="B5" s="42"/>
      <c r="C5" s="42"/>
      <c r="D5" s="42"/>
      <c r="E5" s="42"/>
      <c r="F5" s="42"/>
      <c r="G5" s="42"/>
      <c r="H5" s="42"/>
      <c r="I5" s="43"/>
    </row>
    <row r="6" spans="1:9" ht="30" customHeight="1" x14ac:dyDescent="0.6">
      <c r="A6" s="11" t="s">
        <v>116</v>
      </c>
      <c r="B6" s="11" t="s">
        <v>117</v>
      </c>
      <c r="C6" s="11" t="s">
        <v>118</v>
      </c>
      <c r="D6" s="11" t="s">
        <v>119</v>
      </c>
      <c r="E6" s="11" t="s">
        <v>98</v>
      </c>
      <c r="F6" s="11" t="s">
        <v>68</v>
      </c>
      <c r="G6" s="11" t="s">
        <v>120</v>
      </c>
      <c r="H6" s="11" t="s">
        <v>121</v>
      </c>
      <c r="I6" s="11" t="s">
        <v>8</v>
      </c>
    </row>
    <row r="7" spans="1:9" ht="36" customHeight="1" x14ac:dyDescent="0.6">
      <c r="A7" s="25" t="s">
        <v>122</v>
      </c>
      <c r="B7" s="12" t="s">
        <v>75</v>
      </c>
      <c r="C7" s="12" t="s">
        <v>123</v>
      </c>
      <c r="D7" s="25" t="s">
        <v>124</v>
      </c>
      <c r="E7" s="25">
        <v>25</v>
      </c>
      <c r="F7" s="12" t="s">
        <v>125</v>
      </c>
      <c r="G7" s="12" t="s">
        <v>126</v>
      </c>
      <c r="H7" s="12" t="s">
        <v>127</v>
      </c>
      <c r="I7" s="12" t="s">
        <v>36</v>
      </c>
    </row>
    <row r="8" spans="1:9" ht="36" customHeight="1" x14ac:dyDescent="0.6">
      <c r="A8" s="24" t="s">
        <v>128</v>
      </c>
      <c r="B8" s="10" t="s">
        <v>72</v>
      </c>
      <c r="C8" s="10" t="s">
        <v>129</v>
      </c>
      <c r="D8" s="24" t="s">
        <v>130</v>
      </c>
      <c r="E8" s="24">
        <v>100</v>
      </c>
      <c r="F8" s="10" t="s">
        <v>23</v>
      </c>
      <c r="G8" s="10" t="s">
        <v>131</v>
      </c>
      <c r="H8" s="10" t="s">
        <v>131</v>
      </c>
      <c r="I8" s="10" t="s">
        <v>27</v>
      </c>
    </row>
    <row r="9" spans="1:9" ht="36" customHeight="1" x14ac:dyDescent="0.6">
      <c r="A9" s="12" t="s">
        <v>132</v>
      </c>
      <c r="B9" s="10" t="s">
        <v>78</v>
      </c>
      <c r="C9" s="10" t="s">
        <v>133</v>
      </c>
      <c r="D9" s="12" t="s">
        <v>124</v>
      </c>
      <c r="E9" s="12">
        <v>15</v>
      </c>
      <c r="F9" s="10" t="s">
        <v>134</v>
      </c>
      <c r="G9" s="10" t="s">
        <v>135</v>
      </c>
      <c r="H9" s="10" t="s">
        <v>136</v>
      </c>
      <c r="I9" s="10" t="s">
        <v>36</v>
      </c>
    </row>
    <row r="10" spans="1:9" ht="36" customHeight="1" x14ac:dyDescent="0.6">
      <c r="A10" s="26" t="s">
        <v>137</v>
      </c>
      <c r="B10" s="10" t="s">
        <v>138</v>
      </c>
      <c r="C10" s="10" t="s">
        <v>139</v>
      </c>
      <c r="D10" s="26" t="s">
        <v>124</v>
      </c>
      <c r="E10" s="26">
        <v>5</v>
      </c>
      <c r="F10" s="10" t="s">
        <v>140</v>
      </c>
      <c r="G10" s="10" t="s">
        <v>141</v>
      </c>
      <c r="H10" s="10" t="s">
        <v>142</v>
      </c>
      <c r="I10" s="10" t="s">
        <v>143</v>
      </c>
    </row>
    <row r="11" spans="1:9" x14ac:dyDescent="0.6">
      <c r="A11" s="30" t="s">
        <v>144</v>
      </c>
      <c r="B11" s="31"/>
      <c r="C11" s="31"/>
      <c r="D11" s="31"/>
      <c r="E11" s="31"/>
      <c r="F11" s="31"/>
      <c r="G11" s="31"/>
      <c r="H11" s="31"/>
      <c r="I11" s="31"/>
    </row>
  </sheetData>
  <mergeCells count="5">
    <mergeCell ref="A2:I2"/>
    <mergeCell ref="A11:I11"/>
    <mergeCell ref="A1:I1"/>
    <mergeCell ref="A3:I3"/>
    <mergeCell ref="A5:I5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workbookViewId="0">
      <selection activeCell="K12" sqref="K12"/>
    </sheetView>
  </sheetViews>
  <sheetFormatPr defaultRowHeight="16.899999999999999" x14ac:dyDescent="0.6"/>
  <cols>
    <col min="1" max="1" width="8" customWidth="1"/>
    <col min="2" max="2" width="20" customWidth="1"/>
    <col min="3" max="3" width="18" customWidth="1"/>
    <col min="4" max="5" width="14" customWidth="1"/>
    <col min="6" max="9" width="12" customWidth="1"/>
  </cols>
  <sheetData>
    <row r="1" spans="1:9" ht="26" customHeight="1" x14ac:dyDescent="0.6">
      <c r="A1" s="32" t="s">
        <v>145</v>
      </c>
      <c r="B1" s="31"/>
      <c r="C1" s="31"/>
      <c r="D1" s="31"/>
      <c r="E1" s="31"/>
      <c r="F1" s="31"/>
      <c r="G1" s="31"/>
      <c r="H1" s="31"/>
      <c r="I1" s="31"/>
    </row>
    <row r="2" spans="1:9" ht="22.15" customHeight="1" x14ac:dyDescent="0.6">
      <c r="A2" s="40" t="s">
        <v>146</v>
      </c>
      <c r="B2" s="31"/>
      <c r="C2" s="31"/>
      <c r="D2" s="31"/>
      <c r="E2" s="31"/>
      <c r="F2" s="31"/>
      <c r="G2" s="31"/>
      <c r="H2" s="31"/>
      <c r="I2" s="31"/>
    </row>
    <row r="3" spans="1:9" ht="22.15" customHeight="1" x14ac:dyDescent="0.6">
      <c r="A3" s="37" t="s">
        <v>147</v>
      </c>
      <c r="B3" s="31"/>
      <c r="C3" s="31"/>
      <c r="D3" s="31"/>
      <c r="E3" s="31"/>
      <c r="F3" s="31"/>
      <c r="G3" s="31"/>
      <c r="H3" s="31"/>
      <c r="I3" s="31"/>
    </row>
    <row r="4" spans="1:9" ht="22.15" customHeight="1" x14ac:dyDescent="0.6">
      <c r="A4" s="33" t="s">
        <v>148</v>
      </c>
      <c r="B4" s="31"/>
      <c r="C4" s="31"/>
      <c r="D4" s="31"/>
      <c r="E4" s="31"/>
      <c r="F4" s="31"/>
      <c r="G4" s="31"/>
      <c r="H4" s="31"/>
      <c r="I4" s="31"/>
    </row>
    <row r="5" spans="1:9" s="8" customFormat="1" ht="22.15" customHeight="1" x14ac:dyDescent="0.6"/>
    <row r="6" spans="1:9" ht="22.15" customHeight="1" x14ac:dyDescent="0.6">
      <c r="A6" s="36" t="s">
        <v>149</v>
      </c>
      <c r="B6" s="29"/>
      <c r="C6" s="29"/>
      <c r="D6" s="29"/>
      <c r="E6" s="29"/>
      <c r="F6" s="29"/>
      <c r="G6" s="29"/>
      <c r="H6" s="31"/>
      <c r="I6" s="31"/>
    </row>
    <row r="7" spans="1:9" ht="31.5" x14ac:dyDescent="0.6">
      <c r="A7" s="11" t="s">
        <v>150</v>
      </c>
      <c r="B7" s="11" t="s">
        <v>67</v>
      </c>
      <c r="C7" s="11" t="s">
        <v>151</v>
      </c>
      <c r="D7" s="11" t="s">
        <v>152</v>
      </c>
      <c r="E7" s="11" t="s">
        <v>70</v>
      </c>
      <c r="F7" s="11" t="s">
        <v>71</v>
      </c>
      <c r="G7" s="11" t="s">
        <v>153</v>
      </c>
    </row>
    <row r="8" spans="1:9" ht="30" customHeight="1" x14ac:dyDescent="0.6">
      <c r="A8" s="12" t="s">
        <v>154</v>
      </c>
      <c r="B8" s="56">
        <v>1</v>
      </c>
      <c r="C8" s="12" t="s">
        <v>155</v>
      </c>
      <c r="D8" s="56">
        <v>1.5</v>
      </c>
      <c r="E8" s="10" t="s">
        <v>156</v>
      </c>
      <c r="F8" s="15">
        <f t="shared" ref="F8:F14" si="0">D8/SUM($D$8:$D$14)*100</f>
        <v>12</v>
      </c>
      <c r="G8" s="56">
        <f>F8</f>
        <v>12</v>
      </c>
    </row>
    <row r="9" spans="1:9" ht="30" customHeight="1" x14ac:dyDescent="0.6">
      <c r="A9" s="12" t="s">
        <v>157</v>
      </c>
      <c r="B9" s="56">
        <v>2</v>
      </c>
      <c r="C9" s="12" t="s">
        <v>158</v>
      </c>
      <c r="D9" s="56">
        <v>2.5</v>
      </c>
      <c r="E9" s="10" t="s">
        <v>159</v>
      </c>
      <c r="F9" s="15">
        <f t="shared" si="0"/>
        <v>20</v>
      </c>
      <c r="G9" s="56">
        <f>F8+F9</f>
        <v>32</v>
      </c>
    </row>
    <row r="10" spans="1:9" ht="30" customHeight="1" x14ac:dyDescent="0.6">
      <c r="A10" s="12" t="s">
        <v>160</v>
      </c>
      <c r="B10" s="56">
        <v>3</v>
      </c>
      <c r="C10" s="12" t="s">
        <v>161</v>
      </c>
      <c r="D10" s="56">
        <v>1</v>
      </c>
      <c r="E10" s="10" t="s">
        <v>162</v>
      </c>
      <c r="F10" s="15">
        <f t="shared" si="0"/>
        <v>8</v>
      </c>
      <c r="G10" s="56">
        <f>F8+F9+F10</f>
        <v>40</v>
      </c>
    </row>
    <row r="11" spans="1:9" ht="30" customHeight="1" x14ac:dyDescent="0.6">
      <c r="A11" s="12" t="s">
        <v>163</v>
      </c>
      <c r="B11" s="56">
        <v>4</v>
      </c>
      <c r="C11" s="12" t="s">
        <v>164</v>
      </c>
      <c r="D11" s="56">
        <v>1.5</v>
      </c>
      <c r="E11" s="10" t="s">
        <v>165</v>
      </c>
      <c r="F11" s="15">
        <f t="shared" si="0"/>
        <v>12</v>
      </c>
      <c r="G11" s="56">
        <f>F8+F9+F10+F11</f>
        <v>52</v>
      </c>
    </row>
    <row r="12" spans="1:9" ht="30" customHeight="1" x14ac:dyDescent="0.6">
      <c r="A12" s="12" t="s">
        <v>166</v>
      </c>
      <c r="B12" s="56">
        <v>5</v>
      </c>
      <c r="C12" s="12" t="s">
        <v>167</v>
      </c>
      <c r="D12" s="56">
        <v>2.5</v>
      </c>
      <c r="E12" s="10" t="s">
        <v>168</v>
      </c>
      <c r="F12" s="15">
        <f t="shared" si="0"/>
        <v>20</v>
      </c>
      <c r="G12" s="56">
        <f>F8+F9+F10+F11+F12</f>
        <v>72</v>
      </c>
    </row>
    <row r="13" spans="1:9" ht="30" customHeight="1" x14ac:dyDescent="0.6">
      <c r="A13" s="12" t="s">
        <v>169</v>
      </c>
      <c r="B13" s="56">
        <v>6</v>
      </c>
      <c r="C13" s="12" t="s">
        <v>170</v>
      </c>
      <c r="D13" s="56">
        <v>1.5</v>
      </c>
      <c r="E13" s="10" t="s">
        <v>171</v>
      </c>
      <c r="F13" s="15">
        <f t="shared" si="0"/>
        <v>12</v>
      </c>
      <c r="G13" s="56">
        <f>F8+F9+F10+F11+F12+F13</f>
        <v>84</v>
      </c>
    </row>
    <row r="14" spans="1:9" ht="30" customHeight="1" x14ac:dyDescent="0.6">
      <c r="A14" s="12" t="s">
        <v>172</v>
      </c>
      <c r="B14" s="56">
        <v>7</v>
      </c>
      <c r="C14" s="12" t="s">
        <v>173</v>
      </c>
      <c r="D14" s="56">
        <v>2</v>
      </c>
      <c r="E14" s="10" t="s">
        <v>174</v>
      </c>
      <c r="F14" s="15">
        <f t="shared" si="0"/>
        <v>16</v>
      </c>
      <c r="G14" s="56">
        <f>SUM(F8:F14)</f>
        <v>100</v>
      </c>
    </row>
    <row r="15" spans="1:9" x14ac:dyDescent="0.6">
      <c r="A15" s="16" t="s">
        <v>87</v>
      </c>
      <c r="B15" s="17"/>
      <c r="C15" s="17"/>
      <c r="D15" s="16">
        <f>SUM(D8:D14)</f>
        <v>12.5</v>
      </c>
      <c r="E15" s="17"/>
      <c r="F15" s="16">
        <f>SUM(F8:F14)</f>
        <v>100</v>
      </c>
      <c r="G15" s="16" t="s">
        <v>175</v>
      </c>
    </row>
    <row r="16" spans="1:9" s="8" customFormat="1" x14ac:dyDescent="0.6">
      <c r="A16" s="55"/>
    </row>
    <row r="17" spans="1:9" ht="22.15" customHeight="1" x14ac:dyDescent="0.6">
      <c r="A17" s="36" t="s">
        <v>176</v>
      </c>
      <c r="B17" s="29"/>
      <c r="C17" s="29"/>
      <c r="D17" s="29"/>
      <c r="E17" s="29"/>
      <c r="F17" s="29"/>
      <c r="G17" s="29"/>
      <c r="H17" s="31"/>
      <c r="I17" s="31"/>
    </row>
    <row r="18" spans="1:9" ht="31.5" x14ac:dyDescent="0.6">
      <c r="A18" s="23" t="s">
        <v>177</v>
      </c>
      <c r="B18" s="23" t="s">
        <v>178</v>
      </c>
      <c r="C18" s="23" t="s">
        <v>98</v>
      </c>
      <c r="D18" s="23" t="s">
        <v>121</v>
      </c>
    </row>
    <row r="19" spans="1:9" ht="22.15" customHeight="1" x14ac:dyDescent="0.6">
      <c r="A19" s="10" t="s">
        <v>35</v>
      </c>
      <c r="B19" s="10" t="s">
        <v>179</v>
      </c>
      <c r="C19" s="24">
        <v>100</v>
      </c>
      <c r="D19" s="10" t="s">
        <v>131</v>
      </c>
    </row>
    <row r="20" spans="1:9" ht="22.15" customHeight="1" x14ac:dyDescent="0.6">
      <c r="A20" s="10" t="s">
        <v>180</v>
      </c>
      <c r="B20" s="10" t="s">
        <v>181</v>
      </c>
      <c r="C20" s="25">
        <v>84</v>
      </c>
      <c r="D20" s="10" t="s">
        <v>182</v>
      </c>
    </row>
    <row r="21" spans="1:9" ht="22.15" customHeight="1" x14ac:dyDescent="0.6">
      <c r="A21" s="10" t="s">
        <v>183</v>
      </c>
      <c r="B21" s="10" t="s">
        <v>184</v>
      </c>
      <c r="C21" s="25">
        <v>52</v>
      </c>
      <c r="D21" s="10" t="s">
        <v>185</v>
      </c>
    </row>
    <row r="22" spans="1:9" ht="22.15" customHeight="1" x14ac:dyDescent="0.6">
      <c r="A22" s="10" t="s">
        <v>186</v>
      </c>
      <c r="B22" s="10" t="s">
        <v>187</v>
      </c>
      <c r="C22" s="25">
        <v>68</v>
      </c>
      <c r="D22" s="10" t="s">
        <v>188</v>
      </c>
    </row>
    <row r="23" spans="1:9" ht="22.15" customHeight="1" x14ac:dyDescent="0.6">
      <c r="A23" s="10" t="s">
        <v>189</v>
      </c>
      <c r="B23" s="10" t="s">
        <v>190</v>
      </c>
      <c r="C23" s="26">
        <v>28</v>
      </c>
      <c r="D23" s="10" t="s">
        <v>191</v>
      </c>
    </row>
    <row r="24" spans="1:9" ht="22.15" customHeight="1" x14ac:dyDescent="0.6">
      <c r="A24" s="10" t="s">
        <v>192</v>
      </c>
      <c r="B24" s="10" t="s">
        <v>193</v>
      </c>
      <c r="C24" s="26">
        <v>0</v>
      </c>
      <c r="D24" s="10" t="s">
        <v>194</v>
      </c>
    </row>
    <row r="25" spans="1:9" x14ac:dyDescent="0.6">
      <c r="A25" s="30" t="s">
        <v>195</v>
      </c>
      <c r="B25" s="31"/>
      <c r="C25" s="31"/>
      <c r="D25" s="31"/>
      <c r="E25" s="31"/>
      <c r="F25" s="31"/>
      <c r="G25" s="31"/>
      <c r="H25" s="31"/>
      <c r="I25" s="31"/>
    </row>
  </sheetData>
  <mergeCells count="7">
    <mergeCell ref="A25:I25"/>
    <mergeCell ref="A17:I17"/>
    <mergeCell ref="A2:I2"/>
    <mergeCell ref="A6:I6"/>
    <mergeCell ref="A1:I1"/>
    <mergeCell ref="A3:I3"/>
    <mergeCell ref="A4:I4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"/>
  <sheetViews>
    <sheetView workbookViewId="0">
      <selection activeCell="B15" sqref="B15"/>
    </sheetView>
  </sheetViews>
  <sheetFormatPr defaultRowHeight="16.899999999999999" x14ac:dyDescent="0.6"/>
  <cols>
    <col min="1" max="1" width="8" customWidth="1"/>
    <col min="2" max="2" width="36" customWidth="1"/>
    <col min="3" max="3" width="12" customWidth="1"/>
    <col min="4" max="5" width="20" customWidth="1"/>
    <col min="6" max="7" width="24" customWidth="1"/>
    <col min="8" max="8" width="22" customWidth="1"/>
    <col min="9" max="9" width="20" customWidth="1"/>
  </cols>
  <sheetData>
    <row r="1" spans="1:9" ht="26" customHeight="1" x14ac:dyDescent="0.6">
      <c r="A1" s="32" t="s">
        <v>196</v>
      </c>
      <c r="B1" s="31"/>
      <c r="C1" s="31"/>
      <c r="D1" s="31"/>
      <c r="E1" s="31"/>
      <c r="F1" s="31"/>
      <c r="G1" s="31"/>
      <c r="H1" s="31"/>
      <c r="I1" s="31"/>
    </row>
    <row r="2" spans="1:9" ht="16.899999999999999" customHeight="1" x14ac:dyDescent="0.6">
      <c r="A2" s="50" t="s">
        <v>197</v>
      </c>
      <c r="B2" s="29"/>
      <c r="C2" s="29"/>
      <c r="D2" s="29"/>
      <c r="E2" s="29"/>
      <c r="F2" s="29"/>
      <c r="G2" s="29"/>
      <c r="H2" s="29"/>
      <c r="I2" s="29"/>
    </row>
    <row r="3" spans="1:9" s="8" customFormat="1" ht="16.899999999999999" customHeight="1" x14ac:dyDescent="0.6">
      <c r="B3" s="52"/>
      <c r="C3" s="52"/>
      <c r="D3" s="52"/>
      <c r="E3" s="52"/>
      <c r="F3" s="52"/>
      <c r="G3" s="52"/>
      <c r="H3" s="52"/>
      <c r="I3" s="52"/>
    </row>
    <row r="4" spans="1:9" x14ac:dyDescent="0.6">
      <c r="A4" s="46" t="s">
        <v>198</v>
      </c>
      <c r="B4" s="42"/>
      <c r="C4" s="42"/>
      <c r="D4" s="42"/>
      <c r="E4" s="42"/>
      <c r="F4" s="42"/>
      <c r="G4" s="42"/>
      <c r="H4" s="42"/>
      <c r="I4" s="43"/>
    </row>
    <row r="5" spans="1:9" ht="30" customHeight="1" x14ac:dyDescent="0.6">
      <c r="A5" s="11" t="s">
        <v>116</v>
      </c>
      <c r="B5" s="11" t="s">
        <v>199</v>
      </c>
      <c r="C5" s="11" t="s">
        <v>119</v>
      </c>
      <c r="D5" s="11" t="s">
        <v>98</v>
      </c>
      <c r="E5" s="11" t="s">
        <v>68</v>
      </c>
      <c r="F5" s="11" t="s">
        <v>200</v>
      </c>
      <c r="G5" s="11" t="s">
        <v>120</v>
      </c>
      <c r="H5" s="11" t="s">
        <v>121</v>
      </c>
      <c r="I5" s="11" t="s">
        <v>8</v>
      </c>
    </row>
    <row r="6" spans="1:9" ht="30" customHeight="1" x14ac:dyDescent="0.6">
      <c r="A6" s="25" t="s">
        <v>122</v>
      </c>
      <c r="B6" s="10" t="s">
        <v>201</v>
      </c>
      <c r="C6" s="25" t="s">
        <v>124</v>
      </c>
      <c r="D6" s="25">
        <v>50</v>
      </c>
      <c r="E6" s="10" t="s">
        <v>202</v>
      </c>
      <c r="F6" s="10" t="s">
        <v>203</v>
      </c>
      <c r="G6" s="10" t="s">
        <v>204</v>
      </c>
      <c r="H6" s="10" t="s">
        <v>205</v>
      </c>
      <c r="I6" s="10" t="s">
        <v>206</v>
      </c>
    </row>
    <row r="7" spans="1:9" ht="30" customHeight="1" x14ac:dyDescent="0.6">
      <c r="A7" s="24" t="s">
        <v>128</v>
      </c>
      <c r="B7" s="10" t="s">
        <v>207</v>
      </c>
      <c r="C7" s="24" t="s">
        <v>130</v>
      </c>
      <c r="D7" s="24">
        <v>100</v>
      </c>
      <c r="E7" s="10" t="s">
        <v>41</v>
      </c>
      <c r="F7" s="10" t="s">
        <v>208</v>
      </c>
      <c r="G7" s="10" t="s">
        <v>209</v>
      </c>
      <c r="H7" s="10" t="s">
        <v>131</v>
      </c>
      <c r="I7" s="10" t="s">
        <v>45</v>
      </c>
    </row>
    <row r="8" spans="1:9" ht="30" customHeight="1" x14ac:dyDescent="0.6">
      <c r="A8" s="53" t="s">
        <v>132</v>
      </c>
      <c r="B8" s="10" t="s">
        <v>210</v>
      </c>
      <c r="C8" s="53" t="s">
        <v>124</v>
      </c>
      <c r="D8" s="53">
        <v>0</v>
      </c>
      <c r="E8" s="10" t="s">
        <v>211</v>
      </c>
      <c r="F8" s="10" t="s">
        <v>212</v>
      </c>
      <c r="G8" s="10" t="s">
        <v>213</v>
      </c>
      <c r="H8" s="10" t="s">
        <v>214</v>
      </c>
      <c r="I8" s="10" t="s">
        <v>206</v>
      </c>
    </row>
    <row r="9" spans="1:9" ht="30" customHeight="1" x14ac:dyDescent="0.6">
      <c r="A9" s="53" t="s">
        <v>137</v>
      </c>
      <c r="B9" s="10" t="s">
        <v>215</v>
      </c>
      <c r="C9" s="53" t="s">
        <v>124</v>
      </c>
      <c r="D9" s="53">
        <v>20</v>
      </c>
      <c r="E9" s="10" t="s">
        <v>216</v>
      </c>
      <c r="F9" s="10" t="s">
        <v>217</v>
      </c>
      <c r="G9" s="10" t="s">
        <v>218</v>
      </c>
      <c r="H9" s="10" t="s">
        <v>219</v>
      </c>
      <c r="I9" s="10" t="s">
        <v>45</v>
      </c>
    </row>
    <row r="10" spans="1:9" x14ac:dyDescent="0.6">
      <c r="A10" s="30" t="s">
        <v>220</v>
      </c>
      <c r="B10" s="31"/>
      <c r="C10" s="31"/>
      <c r="D10" s="31"/>
      <c r="E10" s="31"/>
      <c r="F10" s="31"/>
      <c r="G10" s="31"/>
      <c r="H10" s="31"/>
      <c r="I10" s="31"/>
    </row>
  </sheetData>
  <mergeCells count="4">
    <mergeCell ref="A1:I1"/>
    <mergeCell ref="A4:I4"/>
    <mergeCell ref="A10:I10"/>
    <mergeCell ref="A2:I2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>
      <selection sqref="A1:XFD1"/>
    </sheetView>
  </sheetViews>
  <sheetFormatPr defaultRowHeight="16.899999999999999" x14ac:dyDescent="0.6"/>
  <cols>
    <col min="1" max="1" width="8" customWidth="1"/>
    <col min="2" max="2" width="20" customWidth="1"/>
    <col min="3" max="3" width="18" customWidth="1"/>
    <col min="4" max="5" width="14" customWidth="1"/>
    <col min="6" max="6" width="22" customWidth="1"/>
    <col min="7" max="7" width="46" customWidth="1"/>
    <col min="8" max="8" width="50" customWidth="1"/>
    <col min="9" max="9" width="18" customWidth="1"/>
  </cols>
  <sheetData>
    <row r="1" spans="1:9" ht="26" customHeight="1" x14ac:dyDescent="0.6">
      <c r="A1" s="32" t="s">
        <v>221</v>
      </c>
      <c r="B1" s="31"/>
      <c r="C1" s="31"/>
      <c r="D1" s="31"/>
      <c r="E1" s="31"/>
      <c r="F1" s="31"/>
      <c r="G1" s="31"/>
      <c r="H1" s="31"/>
      <c r="I1" s="31"/>
    </row>
    <row r="2" spans="1:9" x14ac:dyDescent="0.6">
      <c r="A2" s="41" t="s">
        <v>222</v>
      </c>
      <c r="B2" s="42"/>
      <c r="C2" s="42"/>
      <c r="D2" s="42"/>
      <c r="E2" s="42"/>
      <c r="F2" s="42"/>
      <c r="G2" s="42"/>
      <c r="H2" s="42"/>
      <c r="I2" s="43"/>
    </row>
    <row r="3" spans="1:9" x14ac:dyDescent="0.6">
      <c r="A3" s="44" t="s">
        <v>223</v>
      </c>
      <c r="B3" s="42"/>
      <c r="C3" s="42"/>
      <c r="D3" s="42"/>
      <c r="E3" s="42"/>
      <c r="F3" s="42"/>
      <c r="G3" s="42"/>
      <c r="H3" s="42"/>
      <c r="I3" s="43"/>
    </row>
    <row r="4" spans="1:9" x14ac:dyDescent="0.6">
      <c r="A4" s="1" t="s">
        <v>116</v>
      </c>
      <c r="B4" s="1" t="s">
        <v>199</v>
      </c>
      <c r="C4" s="1" t="s">
        <v>119</v>
      </c>
      <c r="D4" s="1" t="s">
        <v>98</v>
      </c>
      <c r="E4" s="1" t="s">
        <v>68</v>
      </c>
      <c r="F4" s="1" t="s">
        <v>200</v>
      </c>
      <c r="G4" s="1" t="s">
        <v>120</v>
      </c>
      <c r="H4" s="1" t="s">
        <v>121</v>
      </c>
      <c r="I4" s="1" t="s">
        <v>8</v>
      </c>
    </row>
    <row r="5" spans="1:9" x14ac:dyDescent="0.6">
      <c r="A5" s="4" t="s">
        <v>122</v>
      </c>
      <c r="B5" s="4" t="s">
        <v>224</v>
      </c>
      <c r="C5" s="4" t="s">
        <v>130</v>
      </c>
      <c r="D5" s="4">
        <v>100</v>
      </c>
      <c r="E5" s="4" t="s">
        <v>49</v>
      </c>
      <c r="F5" s="4" t="s">
        <v>208</v>
      </c>
      <c r="G5" s="4" t="s">
        <v>131</v>
      </c>
      <c r="H5" s="4" t="s">
        <v>131</v>
      </c>
      <c r="I5" s="4" t="s">
        <v>27</v>
      </c>
    </row>
    <row r="6" spans="1:9" x14ac:dyDescent="0.6">
      <c r="A6" s="3" t="s">
        <v>128</v>
      </c>
      <c r="B6" s="3" t="s">
        <v>225</v>
      </c>
      <c r="C6" s="3" t="s">
        <v>124</v>
      </c>
      <c r="D6" s="3">
        <v>0</v>
      </c>
      <c r="E6" s="3" t="s">
        <v>226</v>
      </c>
      <c r="F6" s="3" t="s">
        <v>227</v>
      </c>
      <c r="G6" s="3" t="s">
        <v>228</v>
      </c>
      <c r="H6" s="3" t="s">
        <v>229</v>
      </c>
      <c r="I6" s="3" t="s">
        <v>131</v>
      </c>
    </row>
    <row r="7" spans="1:9" ht="26.25" x14ac:dyDescent="0.6">
      <c r="A7" s="2" t="s">
        <v>132</v>
      </c>
      <c r="B7" s="2" t="s">
        <v>230</v>
      </c>
      <c r="C7" s="2" t="s">
        <v>124</v>
      </c>
      <c r="D7" s="2">
        <v>20</v>
      </c>
      <c r="E7" s="2" t="s">
        <v>231</v>
      </c>
      <c r="F7" s="2" t="s">
        <v>232</v>
      </c>
      <c r="G7" s="2" t="s">
        <v>233</v>
      </c>
      <c r="H7" s="2" t="s">
        <v>234</v>
      </c>
      <c r="I7" s="2" t="s">
        <v>27</v>
      </c>
    </row>
    <row r="8" spans="1:9" ht="26.25" x14ac:dyDescent="0.6">
      <c r="A8" s="3" t="s">
        <v>137</v>
      </c>
      <c r="B8" s="3" t="s">
        <v>235</v>
      </c>
      <c r="C8" s="3" t="s">
        <v>124</v>
      </c>
      <c r="D8" s="3">
        <v>10</v>
      </c>
      <c r="E8" s="3" t="s">
        <v>236</v>
      </c>
      <c r="F8" s="3" t="s">
        <v>237</v>
      </c>
      <c r="G8" s="3" t="s">
        <v>238</v>
      </c>
      <c r="H8" s="3" t="s">
        <v>239</v>
      </c>
      <c r="I8" s="3" t="s">
        <v>27</v>
      </c>
    </row>
    <row r="9" spans="1:9" x14ac:dyDescent="0.6">
      <c r="A9" s="30" t="s">
        <v>240</v>
      </c>
      <c r="B9" s="31"/>
      <c r="C9" s="31"/>
      <c r="D9" s="31"/>
      <c r="E9" s="31"/>
      <c r="F9" s="31"/>
      <c r="G9" s="31"/>
      <c r="H9" s="31"/>
      <c r="I9" s="31"/>
    </row>
  </sheetData>
  <mergeCells count="4">
    <mergeCell ref="A1:I1"/>
    <mergeCell ref="A3:I3"/>
    <mergeCell ref="A9:I9"/>
    <mergeCell ref="A2:I2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"/>
  <sheetViews>
    <sheetView workbookViewId="0">
      <selection sqref="A1:XFD1"/>
    </sheetView>
  </sheetViews>
  <sheetFormatPr defaultRowHeight="16.899999999999999" x14ac:dyDescent="0.6"/>
  <cols>
    <col min="1" max="1" width="8" customWidth="1"/>
    <col min="2" max="2" width="20" customWidth="1"/>
    <col min="3" max="3" width="18" customWidth="1"/>
    <col min="4" max="5" width="14" customWidth="1"/>
    <col min="6" max="6" width="22" customWidth="1"/>
    <col min="7" max="8" width="52" customWidth="1"/>
    <col min="9" max="9" width="18" customWidth="1"/>
  </cols>
  <sheetData>
    <row r="1" spans="1:9" ht="26" customHeight="1" x14ac:dyDescent="0.6">
      <c r="A1" s="32" t="s">
        <v>241</v>
      </c>
      <c r="B1" s="31"/>
      <c r="C1" s="31"/>
      <c r="D1" s="31"/>
      <c r="E1" s="31"/>
      <c r="F1" s="31"/>
      <c r="G1" s="31"/>
      <c r="H1" s="31"/>
      <c r="I1" s="31"/>
    </row>
    <row r="2" spans="1:9" x14ac:dyDescent="0.6">
      <c r="A2" s="41" t="s">
        <v>242</v>
      </c>
      <c r="B2" s="42"/>
      <c r="C2" s="42"/>
      <c r="D2" s="42"/>
      <c r="E2" s="42"/>
      <c r="F2" s="42"/>
      <c r="G2" s="42"/>
      <c r="H2" s="42"/>
      <c r="I2" s="43"/>
    </row>
    <row r="3" spans="1:9" x14ac:dyDescent="0.6">
      <c r="A3" s="44" t="s">
        <v>243</v>
      </c>
      <c r="B3" s="42"/>
      <c r="C3" s="42"/>
      <c r="D3" s="42"/>
      <c r="E3" s="42"/>
      <c r="F3" s="42"/>
      <c r="G3" s="42"/>
      <c r="H3" s="42"/>
      <c r="I3" s="43"/>
    </row>
    <row r="4" spans="1:9" x14ac:dyDescent="0.6">
      <c r="A4" s="1" t="s">
        <v>116</v>
      </c>
      <c r="B4" s="1" t="s">
        <v>199</v>
      </c>
      <c r="C4" s="1" t="s">
        <v>119</v>
      </c>
      <c r="D4" s="1" t="s">
        <v>98</v>
      </c>
      <c r="E4" s="1" t="s">
        <v>68</v>
      </c>
      <c r="F4" s="1" t="s">
        <v>200</v>
      </c>
      <c r="G4" s="1" t="s">
        <v>120</v>
      </c>
      <c r="H4" s="1" t="s">
        <v>121</v>
      </c>
      <c r="I4" s="1" t="s">
        <v>8</v>
      </c>
    </row>
    <row r="5" spans="1:9" x14ac:dyDescent="0.6">
      <c r="A5" s="2" t="s">
        <v>122</v>
      </c>
      <c r="B5" s="2" t="s">
        <v>244</v>
      </c>
      <c r="C5" s="2" t="s">
        <v>124</v>
      </c>
      <c r="D5" s="2">
        <v>10</v>
      </c>
      <c r="E5" s="2" t="s">
        <v>245</v>
      </c>
      <c r="F5" s="2" t="s">
        <v>246</v>
      </c>
      <c r="G5" s="2" t="s">
        <v>247</v>
      </c>
      <c r="H5" s="2" t="s">
        <v>248</v>
      </c>
      <c r="I5" s="2" t="s">
        <v>249</v>
      </c>
    </row>
    <row r="6" spans="1:9" x14ac:dyDescent="0.6">
      <c r="A6" s="4" t="s">
        <v>128</v>
      </c>
      <c r="B6" s="4" t="s">
        <v>250</v>
      </c>
      <c r="C6" s="4" t="s">
        <v>130</v>
      </c>
      <c r="D6" s="4">
        <v>100</v>
      </c>
      <c r="E6" s="4" t="s">
        <v>55</v>
      </c>
      <c r="F6" s="4" t="s">
        <v>208</v>
      </c>
      <c r="G6" s="4" t="s">
        <v>251</v>
      </c>
      <c r="H6" s="4" t="s">
        <v>131</v>
      </c>
      <c r="I6" s="4" t="s">
        <v>57</v>
      </c>
    </row>
    <row r="7" spans="1:9" ht="26.25" x14ac:dyDescent="0.6">
      <c r="A7" s="2" t="s">
        <v>132</v>
      </c>
      <c r="B7" s="2" t="s">
        <v>252</v>
      </c>
      <c r="C7" s="2" t="s">
        <v>124</v>
      </c>
      <c r="D7" s="2">
        <v>20</v>
      </c>
      <c r="E7" s="2" t="s">
        <v>253</v>
      </c>
      <c r="F7" s="2" t="s">
        <v>254</v>
      </c>
      <c r="G7" s="2" t="s">
        <v>255</v>
      </c>
      <c r="H7" s="2" t="s">
        <v>256</v>
      </c>
      <c r="I7" s="2" t="s">
        <v>36</v>
      </c>
    </row>
    <row r="8" spans="1:9" ht="26.25" x14ac:dyDescent="0.6">
      <c r="A8" s="3" t="s">
        <v>137</v>
      </c>
      <c r="B8" s="3" t="s">
        <v>257</v>
      </c>
      <c r="C8" s="3" t="s">
        <v>124</v>
      </c>
      <c r="D8" s="3">
        <v>0</v>
      </c>
      <c r="E8" s="3" t="s">
        <v>258</v>
      </c>
      <c r="F8" s="3" t="s">
        <v>259</v>
      </c>
      <c r="G8" s="3" t="s">
        <v>260</v>
      </c>
      <c r="H8" s="3" t="s">
        <v>261</v>
      </c>
      <c r="I8" s="3" t="s">
        <v>131</v>
      </c>
    </row>
    <row r="9" spans="1:9" x14ac:dyDescent="0.6">
      <c r="A9" s="30" t="s">
        <v>262</v>
      </c>
      <c r="B9" s="31"/>
      <c r="C9" s="31"/>
      <c r="D9" s="31"/>
      <c r="E9" s="31"/>
      <c r="F9" s="31"/>
      <c r="G9" s="31"/>
      <c r="H9" s="31"/>
      <c r="I9" s="31"/>
    </row>
  </sheetData>
  <mergeCells count="4">
    <mergeCell ref="A1:I1"/>
    <mergeCell ref="A3:I3"/>
    <mergeCell ref="A9:I9"/>
    <mergeCell ref="A2:I2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1"/>
  <sheetViews>
    <sheetView workbookViewId="0">
      <selection sqref="A1:XFD1"/>
    </sheetView>
  </sheetViews>
  <sheetFormatPr defaultRowHeight="16.899999999999999" x14ac:dyDescent="0.6"/>
  <cols>
    <col min="1" max="1" width="8" customWidth="1"/>
    <col min="2" max="2" width="20" customWidth="1"/>
    <col min="3" max="3" width="18" customWidth="1"/>
    <col min="4" max="5" width="14" customWidth="1"/>
    <col min="6" max="6" width="24" customWidth="1"/>
    <col min="7" max="7" width="36" customWidth="1"/>
  </cols>
  <sheetData>
    <row r="1" spans="1:7" ht="26" customHeight="1" x14ac:dyDescent="0.6">
      <c r="A1" s="32" t="s">
        <v>263</v>
      </c>
      <c r="B1" s="8"/>
      <c r="C1" s="8"/>
      <c r="D1" s="8"/>
      <c r="E1" s="8"/>
      <c r="F1" s="8"/>
      <c r="G1" s="8"/>
    </row>
    <row r="2" spans="1:7" x14ac:dyDescent="0.6">
      <c r="A2" s="45" t="s">
        <v>264</v>
      </c>
      <c r="B2" s="42"/>
      <c r="C2" s="42"/>
      <c r="D2" s="42"/>
      <c r="E2" s="42"/>
      <c r="F2" s="42"/>
      <c r="G2" s="43"/>
    </row>
    <row r="3" spans="1:7" x14ac:dyDescent="0.6">
      <c r="A3" s="1" t="s">
        <v>265</v>
      </c>
      <c r="B3" s="1" t="s">
        <v>266</v>
      </c>
      <c r="C3" s="1" t="s">
        <v>267</v>
      </c>
      <c r="D3" s="1" t="s">
        <v>268</v>
      </c>
      <c r="E3" s="1" t="s">
        <v>269</v>
      </c>
      <c r="F3" s="1" t="s">
        <v>270</v>
      </c>
      <c r="G3" s="1" t="s">
        <v>271</v>
      </c>
    </row>
    <row r="4" spans="1:7" x14ac:dyDescent="0.6">
      <c r="A4" s="4" t="s">
        <v>272</v>
      </c>
      <c r="B4" s="4" t="s">
        <v>273</v>
      </c>
      <c r="C4" s="4" t="s">
        <v>274</v>
      </c>
      <c r="D4" s="4" t="s">
        <v>275</v>
      </c>
      <c r="E4" s="4" t="s">
        <v>276</v>
      </c>
      <c r="F4" s="4" t="s">
        <v>277</v>
      </c>
      <c r="G4" s="4" t="s">
        <v>278</v>
      </c>
    </row>
    <row r="5" spans="1:7" x14ac:dyDescent="0.6">
      <c r="A5" s="5" t="s">
        <v>279</v>
      </c>
      <c r="B5" s="5" t="s">
        <v>280</v>
      </c>
      <c r="C5" s="5" t="s">
        <v>281</v>
      </c>
      <c r="D5" s="5" t="s">
        <v>282</v>
      </c>
      <c r="E5" s="5" t="s">
        <v>283</v>
      </c>
      <c r="F5" s="5" t="s">
        <v>284</v>
      </c>
      <c r="G5" s="5" t="s">
        <v>285</v>
      </c>
    </row>
    <row r="6" spans="1:7" x14ac:dyDescent="0.6">
      <c r="A6" s="6" t="s">
        <v>286</v>
      </c>
      <c r="B6" s="6" t="s">
        <v>287</v>
      </c>
      <c r="C6" s="6" t="s">
        <v>288</v>
      </c>
      <c r="D6" s="6" t="s">
        <v>289</v>
      </c>
      <c r="E6" s="6" t="s">
        <v>290</v>
      </c>
      <c r="F6" s="6" t="s">
        <v>291</v>
      </c>
      <c r="G6" s="6" t="s">
        <v>292</v>
      </c>
    </row>
    <row r="7" spans="1:7" x14ac:dyDescent="0.6">
      <c r="A7" s="7" t="s">
        <v>293</v>
      </c>
      <c r="B7" s="7" t="s">
        <v>294</v>
      </c>
      <c r="C7" s="7" t="s">
        <v>295</v>
      </c>
      <c r="D7" s="7" t="s">
        <v>296</v>
      </c>
      <c r="E7" s="7" t="s">
        <v>297</v>
      </c>
      <c r="F7" s="7" t="s">
        <v>298</v>
      </c>
      <c r="G7" s="7" t="s">
        <v>299</v>
      </c>
    </row>
    <row r="8" spans="1:7" x14ac:dyDescent="0.6">
      <c r="A8" s="45" t="s">
        <v>300</v>
      </c>
      <c r="B8" s="42"/>
      <c r="C8" s="42"/>
      <c r="D8" s="42"/>
      <c r="E8" s="42"/>
      <c r="F8" s="42"/>
      <c r="G8" s="43"/>
    </row>
    <row r="9" spans="1:7" x14ac:dyDescent="0.6">
      <c r="A9" s="1" t="s">
        <v>301</v>
      </c>
      <c r="B9" s="1" t="s">
        <v>302</v>
      </c>
      <c r="C9" s="1" t="s">
        <v>303</v>
      </c>
      <c r="D9" s="1" t="s">
        <v>304</v>
      </c>
      <c r="E9" s="1" t="s">
        <v>305</v>
      </c>
    </row>
    <row r="10" spans="1:7" x14ac:dyDescent="0.6">
      <c r="A10" s="3" t="s">
        <v>306</v>
      </c>
      <c r="B10" s="3" t="s">
        <v>307</v>
      </c>
      <c r="C10" s="3" t="s">
        <v>308</v>
      </c>
      <c r="D10" s="3" t="s">
        <v>309</v>
      </c>
      <c r="E10" s="3" t="s">
        <v>310</v>
      </c>
    </row>
    <row r="11" spans="1:7" x14ac:dyDescent="0.6">
      <c r="A11" s="2" t="s">
        <v>49</v>
      </c>
      <c r="B11" s="2" t="s">
        <v>311</v>
      </c>
      <c r="C11" s="2" t="s">
        <v>312</v>
      </c>
      <c r="D11" s="2" t="s">
        <v>309</v>
      </c>
      <c r="E11" s="2" t="s">
        <v>313</v>
      </c>
    </row>
    <row r="12" spans="1:7" ht="26.25" x14ac:dyDescent="0.6">
      <c r="A12" s="3" t="s">
        <v>314</v>
      </c>
      <c r="B12" s="3" t="s">
        <v>315</v>
      </c>
      <c r="C12" s="3" t="s">
        <v>316</v>
      </c>
      <c r="D12" s="3" t="s">
        <v>309</v>
      </c>
      <c r="E12" s="3" t="s">
        <v>317</v>
      </c>
    </row>
    <row r="13" spans="1:7" ht="26.25" x14ac:dyDescent="0.6">
      <c r="A13" s="2" t="s">
        <v>318</v>
      </c>
      <c r="B13" s="2" t="s">
        <v>319</v>
      </c>
      <c r="C13" s="2" t="s">
        <v>320</v>
      </c>
      <c r="D13" s="2" t="s">
        <v>321</v>
      </c>
      <c r="E13" s="2" t="s">
        <v>322</v>
      </c>
    </row>
    <row r="14" spans="1:7" x14ac:dyDescent="0.6">
      <c r="A14" s="3" t="s">
        <v>323</v>
      </c>
      <c r="B14" s="3" t="s">
        <v>324</v>
      </c>
      <c r="C14" s="3" t="s">
        <v>325</v>
      </c>
      <c r="D14" s="3" t="s">
        <v>309</v>
      </c>
      <c r="E14" s="3" t="s">
        <v>326</v>
      </c>
    </row>
    <row r="15" spans="1:7" ht="26.25" x14ac:dyDescent="0.6">
      <c r="A15" s="2" t="s">
        <v>327</v>
      </c>
      <c r="B15" s="2" t="s">
        <v>53</v>
      </c>
      <c r="C15" s="2" t="s">
        <v>328</v>
      </c>
      <c r="D15" s="2" t="s">
        <v>329</v>
      </c>
      <c r="E15" s="2" t="s">
        <v>330</v>
      </c>
    </row>
    <row r="16" spans="1:7" ht="26.25" x14ac:dyDescent="0.6">
      <c r="A16" s="3" t="s">
        <v>331</v>
      </c>
      <c r="B16" s="3" t="s">
        <v>39</v>
      </c>
      <c r="C16" s="3" t="s">
        <v>332</v>
      </c>
      <c r="D16" s="3" t="s">
        <v>321</v>
      </c>
      <c r="E16" s="3" t="s">
        <v>333</v>
      </c>
    </row>
    <row r="17" spans="1:7" x14ac:dyDescent="0.6">
      <c r="A17" s="45" t="s">
        <v>334</v>
      </c>
      <c r="B17" s="42"/>
      <c r="C17" s="42"/>
      <c r="D17" s="42"/>
      <c r="E17" s="42"/>
      <c r="F17" s="42"/>
      <c r="G17" s="43"/>
    </row>
    <row r="18" spans="1:7" x14ac:dyDescent="0.6">
      <c r="A18" s="47" t="s">
        <v>335</v>
      </c>
      <c r="B18" s="31"/>
      <c r="C18" s="31"/>
      <c r="D18" s="31"/>
      <c r="E18" s="31"/>
      <c r="F18" s="31"/>
      <c r="G18" s="31"/>
    </row>
    <row r="19" spans="1:7" x14ac:dyDescent="0.6">
      <c r="A19" s="47" t="s">
        <v>336</v>
      </c>
      <c r="B19" s="31"/>
      <c r="C19" s="31"/>
      <c r="D19" s="31"/>
      <c r="E19" s="31"/>
      <c r="F19" s="31"/>
      <c r="G19" s="31"/>
    </row>
    <row r="20" spans="1:7" x14ac:dyDescent="0.6">
      <c r="A20" s="45" t="s">
        <v>337</v>
      </c>
      <c r="B20" s="42"/>
      <c r="C20" s="42"/>
      <c r="D20" s="42"/>
      <c r="E20" s="42"/>
      <c r="F20" s="42"/>
      <c r="G20" s="43"/>
    </row>
    <row r="21" spans="1:7" x14ac:dyDescent="0.6">
      <c r="A21" s="47" t="s">
        <v>338</v>
      </c>
      <c r="B21" s="31"/>
      <c r="C21" s="31"/>
      <c r="D21" s="31"/>
      <c r="E21" s="31"/>
      <c r="F21" s="31"/>
      <c r="G21" s="31"/>
    </row>
  </sheetData>
  <mergeCells count="8">
    <mergeCell ref="A1:G1"/>
    <mergeCell ref="A17:G17"/>
    <mergeCell ref="A18:G18"/>
    <mergeCell ref="A8:G8"/>
    <mergeCell ref="A21:G21"/>
    <mergeCell ref="A20:G20"/>
    <mergeCell ref="A2:G2"/>
    <mergeCell ref="A19:G19"/>
  </mergeCells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>
      <selection activeCell="D19" sqref="D19"/>
    </sheetView>
  </sheetViews>
  <sheetFormatPr defaultRowHeight="16.899999999999999" x14ac:dyDescent="0.6"/>
  <cols>
    <col min="1" max="1" width="8" customWidth="1"/>
    <col min="2" max="2" width="20" customWidth="1"/>
    <col min="3" max="3" width="18" customWidth="1"/>
    <col min="4" max="6" width="14" customWidth="1"/>
    <col min="7" max="7" width="34" customWidth="1"/>
    <col min="8" max="8" width="36" customWidth="1"/>
  </cols>
  <sheetData>
    <row r="1" spans="1:8" ht="26" customHeight="1" x14ac:dyDescent="0.6">
      <c r="A1" s="54" t="s">
        <v>339</v>
      </c>
      <c r="B1" s="54"/>
      <c r="C1" s="54"/>
      <c r="D1" s="54"/>
      <c r="E1" s="54"/>
      <c r="F1" s="54"/>
      <c r="G1" s="54"/>
      <c r="H1" s="54"/>
    </row>
    <row r="2" spans="1:8" x14ac:dyDescent="0.6">
      <c r="A2" s="1" t="s">
        <v>1</v>
      </c>
      <c r="B2" s="1" t="s">
        <v>340</v>
      </c>
      <c r="C2" s="1" t="s">
        <v>341</v>
      </c>
      <c r="D2" s="1" t="s">
        <v>342</v>
      </c>
      <c r="E2" s="1" t="s">
        <v>343</v>
      </c>
      <c r="F2" s="1" t="s">
        <v>344</v>
      </c>
      <c r="G2" s="1" t="s">
        <v>345</v>
      </c>
      <c r="H2" s="1" t="s">
        <v>346</v>
      </c>
    </row>
    <row r="3" spans="1:8" x14ac:dyDescent="0.6">
      <c r="A3" s="2" t="s">
        <v>11</v>
      </c>
      <c r="B3" s="2" t="s">
        <v>347</v>
      </c>
      <c r="C3" s="2" t="s">
        <v>348</v>
      </c>
      <c r="D3" s="2" t="s">
        <v>18</v>
      </c>
      <c r="E3" s="2" t="s">
        <v>349</v>
      </c>
      <c r="F3" s="2" t="s">
        <v>350</v>
      </c>
      <c r="G3" s="2" t="s">
        <v>351</v>
      </c>
      <c r="H3" s="2" t="s">
        <v>352</v>
      </c>
    </row>
    <row r="4" spans="1:8" x14ac:dyDescent="0.6">
      <c r="A4" s="3" t="s">
        <v>21</v>
      </c>
      <c r="B4" s="3" t="s">
        <v>347</v>
      </c>
      <c r="C4" s="3" t="s">
        <v>353</v>
      </c>
      <c r="D4" s="3" t="s">
        <v>27</v>
      </c>
      <c r="E4" s="3" t="s">
        <v>349</v>
      </c>
      <c r="F4" s="3" t="s">
        <v>354</v>
      </c>
      <c r="G4" s="3" t="s">
        <v>355</v>
      </c>
      <c r="H4" s="3" t="s">
        <v>356</v>
      </c>
    </row>
    <row r="5" spans="1:8" x14ac:dyDescent="0.6">
      <c r="A5" s="2" t="s">
        <v>30</v>
      </c>
      <c r="B5" s="2" t="s">
        <v>347</v>
      </c>
      <c r="C5" s="2" t="s">
        <v>357</v>
      </c>
      <c r="D5" s="2" t="s">
        <v>36</v>
      </c>
      <c r="E5" s="2" t="s">
        <v>349</v>
      </c>
      <c r="F5" s="2" t="s">
        <v>350</v>
      </c>
      <c r="G5" s="2" t="s">
        <v>358</v>
      </c>
      <c r="H5" s="2" t="s">
        <v>352</v>
      </c>
    </row>
    <row r="6" spans="1:8" x14ac:dyDescent="0.6">
      <c r="A6" s="3" t="s">
        <v>39</v>
      </c>
      <c r="B6" s="3" t="s">
        <v>347</v>
      </c>
      <c r="C6" s="3" t="s">
        <v>359</v>
      </c>
      <c r="D6" s="3" t="s">
        <v>45</v>
      </c>
      <c r="E6" s="3" t="s">
        <v>349</v>
      </c>
      <c r="F6" s="3" t="s">
        <v>354</v>
      </c>
      <c r="G6" s="3" t="s">
        <v>360</v>
      </c>
      <c r="H6" s="3" t="s">
        <v>361</v>
      </c>
    </row>
    <row r="7" spans="1:8" x14ac:dyDescent="0.6">
      <c r="A7" s="2" t="s">
        <v>47</v>
      </c>
      <c r="B7" s="2" t="s">
        <v>347</v>
      </c>
      <c r="C7" s="2" t="s">
        <v>362</v>
      </c>
      <c r="D7" s="2" t="s">
        <v>27</v>
      </c>
      <c r="E7" s="2" t="s">
        <v>349</v>
      </c>
      <c r="F7" s="2" t="s">
        <v>354</v>
      </c>
      <c r="G7" s="2" t="s">
        <v>355</v>
      </c>
      <c r="H7" s="2" t="s">
        <v>363</v>
      </c>
    </row>
    <row r="8" spans="1:8" x14ac:dyDescent="0.6">
      <c r="A8" s="3" t="s">
        <v>53</v>
      </c>
      <c r="B8" s="3" t="s">
        <v>347</v>
      </c>
      <c r="C8" s="3" t="s">
        <v>364</v>
      </c>
      <c r="D8" s="3" t="s">
        <v>57</v>
      </c>
      <c r="E8" s="3" t="s">
        <v>349</v>
      </c>
      <c r="F8" s="3" t="s">
        <v>354</v>
      </c>
      <c r="G8" s="3" t="s">
        <v>360</v>
      </c>
      <c r="H8" s="3" t="s">
        <v>365</v>
      </c>
    </row>
    <row r="9" spans="1:8" x14ac:dyDescent="0.6">
      <c r="A9" s="48" t="s">
        <v>366</v>
      </c>
      <c r="B9" s="31"/>
      <c r="C9" s="31"/>
      <c r="D9" s="31"/>
      <c r="E9" s="31"/>
      <c r="F9" s="31"/>
      <c r="G9" s="31"/>
      <c r="H9" s="31"/>
    </row>
  </sheetData>
  <mergeCells count="2">
    <mergeCell ref="A9:H9"/>
    <mergeCell ref="A1:H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QUIZ_LIST</vt:lpstr>
      <vt:lpstr>Q01_SEQUENCING</vt:lpstr>
      <vt:lpstr>Q02_SENT_MATCH</vt:lpstr>
      <vt:lpstr>Q03_UNSCRAMBLE</vt:lpstr>
      <vt:lpstr>Q04_EMOTION</vt:lpstr>
      <vt:lpstr>Q05_CHAR_GOAL</vt:lpstr>
      <vt:lpstr>Q06_MAIN_IDEA</vt:lpstr>
      <vt:lpstr>SCORING_RULES</vt:lpstr>
      <vt:lpstr>LRS_MAPPING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채봉 이</cp:lastModifiedBy>
  <dcterms:created xsi:type="dcterms:W3CDTF">2026-06-09T14:00:08Z</dcterms:created>
  <dcterms:modified xsi:type="dcterms:W3CDTF">2026-06-09T23:57:10Z</dcterms:modified>
</cp:coreProperties>
</file>