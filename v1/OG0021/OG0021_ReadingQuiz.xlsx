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SEQUENCING" sheetId="2" state="visible" r:id="rId2"/>
    <sheet xmlns:r="http://schemas.openxmlformats.org/officeDocument/2006/relationships" name="Q02_SENT_MATCH" sheetId="3" state="visible" r:id="rId3"/>
    <sheet xmlns:r="http://schemas.openxmlformats.org/officeDocument/2006/relationships" name="Q03_UNSCRAMBLE" sheetId="4" state="visible" r:id="rId4"/>
    <sheet xmlns:r="http://schemas.openxmlformats.org/officeDocument/2006/relationships" name="Q04_MAIN_IDEA" sheetId="5" state="visible" r:id="rId5"/>
    <sheet xmlns:r="http://schemas.openxmlformats.org/officeDocument/2006/relationships" name="Q05_CHAR_GOAL" sheetId="6" state="visible" r:id="rId6"/>
    <sheet xmlns:r="http://schemas.openxmlformats.org/officeDocument/2006/relationships" name="Q06_EMOTION" sheetId="7" state="visible" r:id="rId7"/>
    <sheet xmlns:r="http://schemas.openxmlformats.org/officeDocument/2006/relationships" name="SCORING_RULES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9"/>
    </font>
    <font>
      <i val="1"/>
      <color rgb="00555555"/>
      <sz val="9"/>
    </font>
    <font>
      <b val="1"/>
      <color rgb="00FFFFFF"/>
      <sz val="11"/>
    </font>
    <font>
      <b val="1"/>
      <sz val="9"/>
    </font>
    <font>
      <b val="1"/>
      <color rgb="00FFFFFF"/>
      <sz val="9"/>
    </font>
    <font>
      <color rgb="00000000"/>
      <sz val="9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0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6" customWidth="1" min="10" max="10"/>
  </cols>
  <sheetData>
    <row r="1" ht="28" customHeight="1">
      <c r="A1" s="1" t="inlineStr">
        <is>
          <t>OG0021 Reading Quiz — Master List (Milo and the Lost Color)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Q_ID</t>
        </is>
      </c>
      <c r="B2" s="3" t="inlineStr">
        <is>
          <t>Quiz Type</t>
        </is>
      </c>
      <c r="C2" s="3" t="inlineStr">
        <is>
          <t>Story Grammar Element</t>
        </is>
      </c>
      <c r="D2" s="3" t="inlineStr">
        <is>
          <t>Question (EN)</t>
        </is>
      </c>
      <c r="E2" s="3" t="inlineStr">
        <is>
          <t>Scene Ref</t>
        </is>
      </c>
      <c r="F2" s="3" t="inlineStr">
        <is>
          <t>Answer Sheet</t>
        </is>
      </c>
      <c r="G2" s="3" t="inlineStr">
        <is>
          <t>Max Score</t>
        </is>
      </c>
      <c r="H2" s="3" t="inlineStr">
        <is>
          <t>LRS sg_element</t>
        </is>
      </c>
      <c r="I2" s="3" t="inlineStr">
        <is>
          <t>Scoring Mode</t>
        </is>
      </c>
      <c r="J2" s="3" t="inlineStr">
        <is>
          <t>Sheet Ref</t>
        </is>
      </c>
    </row>
    <row r="3" ht="28" customHeight="1">
      <c r="A3" s="4" t="inlineStr">
        <is>
          <t>Q01</t>
        </is>
      </c>
      <c r="B3" s="4" t="inlineStr">
        <is>
          <t>Scene Sequencing</t>
        </is>
      </c>
      <c r="C3" s="4" t="inlineStr">
        <is>
          <t>Setting→IE→Attempt→Resolution</t>
        </is>
      </c>
      <c r="D3" s="4" t="inlineStr">
        <is>
          <t>Put the 5 scenes in story order.</t>
        </is>
      </c>
      <c r="E3" s="4" t="inlineStr">
        <is>
          <t>SC01/SC03/SC05/SC06/SC10</t>
        </is>
      </c>
      <c r="F3" s="4" t="inlineStr">
        <is>
          <t>1-3-5-6-10</t>
        </is>
      </c>
      <c r="G3" s="4" t="inlineStr">
        <is>
          <t>100</t>
        </is>
      </c>
      <c r="H3" s="4" t="inlineStr">
        <is>
          <t>setting,initiating_event,attempt,resolution</t>
        </is>
      </c>
      <c r="I3" s="4" t="inlineStr">
        <is>
          <t>Weighted Position</t>
        </is>
      </c>
      <c r="J3" s="4" t="inlineStr">
        <is>
          <t>Q01_SEQUENCING</t>
        </is>
      </c>
    </row>
    <row r="4" ht="28" customHeight="1">
      <c r="A4" s="4" t="inlineStr">
        <is>
          <t>Q02</t>
        </is>
      </c>
      <c r="B4" s="4" t="inlineStr">
        <is>
          <t>Sentence-Scene Match</t>
        </is>
      </c>
      <c r="C4" s="4" t="inlineStr">
        <is>
          <t>Initiating Event</t>
        </is>
      </c>
      <c r="D4" s="4" t="inlineStr">
        <is>
          <t>Which scene does this sentence come from?</t>
        </is>
      </c>
      <c r="E4" s="4" t="inlineStr">
        <is>
          <t>SC02/SC03/SC06/SC08</t>
        </is>
      </c>
      <c r="F4" s="4" t="inlineStr">
        <is>
          <t>SC02</t>
        </is>
      </c>
      <c r="G4" s="4" t="inlineStr">
        <is>
          <t>100</t>
        </is>
      </c>
      <c r="H4" s="4" t="inlineStr">
        <is>
          <t>initiating_event</t>
        </is>
      </c>
      <c r="I4" s="4" t="inlineStr">
        <is>
          <t>Weighted MCQ</t>
        </is>
      </c>
      <c r="J4" s="4" t="inlineStr">
        <is>
          <t>Q02_SENT_MATCH</t>
        </is>
      </c>
    </row>
    <row r="5" ht="28" customHeight="1">
      <c r="A5" s="4" t="inlineStr">
        <is>
          <t>Q03</t>
        </is>
      </c>
      <c r="B5" s="4" t="inlineStr">
        <is>
          <t>Sentence Unscramble</t>
        </is>
      </c>
      <c r="C5" s="4" t="inlineStr">
        <is>
          <t>Attempt</t>
        </is>
      </c>
      <c r="D5" s="4" t="inlineStr">
        <is>
          <t>Put the words in order to make a sentence.</t>
        </is>
      </c>
      <c r="E5" s="4" t="inlineStr">
        <is>
          <t>SC04_ST02_N</t>
        </is>
      </c>
      <c r="F5" s="4" t="inlineStr">
        <is>
          <t>My color helps me fly.</t>
        </is>
      </c>
      <c r="G5" s="4" t="inlineStr">
        <is>
          <t>100</t>
        </is>
      </c>
      <c r="H5" s="4" t="inlineStr">
        <is>
          <t>attempt</t>
        </is>
      </c>
      <c r="I5" s="4" t="inlineStr">
        <is>
          <t>Weighted Unscramble</t>
        </is>
      </c>
      <c r="J5" s="4" t="inlineStr">
        <is>
          <t>Q03_UNSCRAMBLE</t>
        </is>
      </c>
    </row>
    <row r="6" ht="28" customHeight="1">
      <c r="A6" s="4" t="inlineStr">
        <is>
          <t>Q04</t>
        </is>
      </c>
      <c r="B6" s="4" t="inlineStr">
        <is>
          <t>Main Idea MCQ</t>
        </is>
      </c>
      <c r="C6" s="4" t="inlineStr">
        <is>
          <t>Theme / Resolution</t>
        </is>
      </c>
      <c r="D6" s="4" t="inlineStr">
        <is>
          <t>What is the main message of this story?</t>
        </is>
      </c>
      <c r="E6" s="4" t="inlineStr">
        <is>
          <t>-</t>
        </is>
      </c>
      <c r="F6" s="4" t="inlineStr">
        <is>
          <t>Option C</t>
        </is>
      </c>
      <c r="G6" s="4" t="inlineStr">
        <is>
          <t>100</t>
        </is>
      </c>
      <c r="H6" s="4" t="inlineStr">
        <is>
          <t>theme</t>
        </is>
      </c>
      <c r="I6" s="4" t="inlineStr">
        <is>
          <t>Weighted MCQ</t>
        </is>
      </c>
      <c r="J6" s="4" t="inlineStr">
        <is>
          <t>Q04_MAIN_IDEA</t>
        </is>
      </c>
    </row>
    <row r="7" ht="28" customHeight="1">
      <c r="A7" s="4" t="inlineStr">
        <is>
          <t>Q05</t>
        </is>
      </c>
      <c r="B7" s="4" t="inlineStr">
        <is>
          <t>Character Goal MCQ</t>
        </is>
      </c>
      <c r="C7" s="4" t="inlineStr">
        <is>
          <t>Initiating Event / Goal</t>
        </is>
      </c>
      <c r="D7" s="4" t="inlineStr">
        <is>
          <t>What does Milo want to find?</t>
        </is>
      </c>
      <c r="E7" s="4" t="inlineStr">
        <is>
          <t>-</t>
        </is>
      </c>
      <c r="F7" s="4" t="inlineStr">
        <is>
          <t>Option A</t>
        </is>
      </c>
      <c r="G7" s="4" t="inlineStr">
        <is>
          <t>100</t>
        </is>
      </c>
      <c r="H7" s="4" t="inlineStr">
        <is>
          <t>initiating_event</t>
        </is>
      </c>
      <c r="I7" s="4" t="inlineStr">
        <is>
          <t>Weighted MCQ</t>
        </is>
      </c>
      <c r="J7" s="4" t="inlineStr">
        <is>
          <t>Q05_CHAR_GOAL</t>
        </is>
      </c>
    </row>
    <row r="8" ht="28" customHeight="1">
      <c r="A8" s="4" t="inlineStr">
        <is>
          <t>Q06</t>
        </is>
      </c>
      <c r="B8" s="4" t="inlineStr">
        <is>
          <t>Emotion Identification</t>
        </is>
      </c>
      <c r="C8" s="4" t="inlineStr">
        <is>
          <t>Reaction / Internal Response</t>
        </is>
      </c>
      <c r="D8" s="4" t="inlineStr">
        <is>
          <t>How does Milo feel in scene SC06?</t>
        </is>
      </c>
      <c r="E8" s="4" t="inlineStr">
        <is>
          <t>SC06</t>
        </is>
      </c>
      <c r="F8" s="4" t="inlineStr">
        <is>
          <t>Option B</t>
        </is>
      </c>
      <c r="G8" s="4" t="inlineStr">
        <is>
          <t>100</t>
        </is>
      </c>
      <c r="H8" s="4" t="inlineStr">
        <is>
          <t>reaction</t>
        </is>
      </c>
      <c r="I8" s="4" t="inlineStr">
        <is>
          <t>Weighted MCQ</t>
        </is>
      </c>
      <c r="J8" s="4" t="inlineStr">
        <is>
          <t>Q06_EMOTION</t>
        </is>
      </c>
    </row>
    <row r="10" ht="20" customHeight="1">
      <c r="A10" s="5" t="inlineStr">
        <is>
          <t>Each question sheet defines per-option/position scores and weights. The HTML file reads this workbook via SheetJS to render the live quiz.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28" customWidth="1" min="10" max="10"/>
  </cols>
  <sheetData>
    <row r="1" ht="26" customHeight="1">
      <c r="A1" s="6" t="inlineStr">
        <is>
          <t>Q01 — Scene Sequencing | Story Grammar: Full Arc</t>
        </is>
      </c>
    </row>
    <row r="2" ht="22" customHeight="1">
      <c r="A2" s="7" t="inlineStr">
        <is>
          <t>Question: Put the 5 scene images in the correct story order by dragging them into position.</t>
        </is>
      </c>
    </row>
    <row r="3" ht="22" customHeight="1">
      <c r="A3" s="8" t="inlineStr">
        <is>
          <t>Scenes provided:  OG0021_SC01_I  |  OG0021_SC03_I  |  OG0021_SC05_I  |  OG0021_SC06_I  |  OG0021_SC10_I</t>
        </is>
      </c>
    </row>
    <row r="4" ht="22" customHeight="1">
      <c r="A4" s="9" t="inlineStr">
        <is>
          <t>Correct Answer: SC01 → SC03 → SC05 → SC06 → SC10</t>
        </is>
      </c>
    </row>
    <row r="5" ht="22" customHeight="1">
      <c r="A5" s="10" t="inlineStr">
        <is>
          <t>Story Grammar: SC01=Setting | SC03=Initiating Event/1st Attempt | SC05=2nd Attempt | SC06=Consequence/Reaction | SC10=Resolution</t>
        </is>
      </c>
    </row>
    <row r="7" ht="22" customHeight="1">
      <c r="A7" s="3" t="inlineStr">
        <is>
          <t>SECTION A — Position Weight per Scene</t>
        </is>
      </c>
      <c r="B7" s="2" t="n"/>
      <c r="C7" s="2" t="n"/>
      <c r="D7" s="2" t="n"/>
      <c r="E7" s="2" t="n"/>
      <c r="F7" s="2" t="n"/>
    </row>
    <row r="8">
      <c r="A8" s="3" t="inlineStr">
        <is>
          <t>Scene Asset</t>
        </is>
      </c>
      <c r="B8" s="3" t="inlineStr">
        <is>
          <t>Correct Pos</t>
        </is>
      </c>
      <c r="C8" s="3" t="inlineStr">
        <is>
          <t>Story Grammar Role</t>
        </is>
      </c>
      <c r="D8" s="3" t="inlineStr">
        <is>
          <t>Position Weight</t>
        </is>
      </c>
      <c r="E8" s="3" t="inlineStr">
        <is>
          <t>Weight Rationale</t>
        </is>
      </c>
      <c r="F8" s="3" t="inlineStr">
        <is>
          <t>Max Points</t>
        </is>
      </c>
    </row>
    <row r="9" ht="30" customHeight="1">
      <c r="A9" s="11" t="inlineStr">
        <is>
          <t>OG0021_SC01_I</t>
        </is>
      </c>
      <c r="B9" s="12" t="n">
        <v>1</v>
      </c>
      <c r="C9" s="11" t="inlineStr">
        <is>
          <t>Setting (story opening)</t>
        </is>
      </c>
      <c r="D9" s="12" t="n">
        <v>2.5</v>
      </c>
      <c r="E9" s="11" t="inlineStr">
        <is>
          <t>Unambiguous first scene. Placing wrong = fundamental arc gap.</t>
        </is>
      </c>
      <c r="F9" s="12">
        <f>D9/SUM($D$9:$D$13)*100</f>
        <v/>
      </c>
    </row>
    <row r="10" ht="30" customHeight="1">
      <c r="A10" s="13" t="inlineStr">
        <is>
          <t>OG0021_SC03_I</t>
        </is>
      </c>
      <c r="B10" s="14" t="n">
        <v>2</v>
      </c>
      <c r="C10" s="13" t="inlineStr">
        <is>
          <t>Initiating Event / 1st Attempt</t>
        </is>
      </c>
      <c r="D10" s="14" t="n">
        <v>1.5</v>
      </c>
      <c r="E10" s="13" t="inlineStr">
        <is>
          <t>Clear event but mid-story; SC03/SC05 confusion is forgivable.</t>
        </is>
      </c>
      <c r="F10" s="14">
        <f>D10/SUM($D$9:$D$13)*100</f>
        <v/>
      </c>
    </row>
    <row r="11" ht="30" customHeight="1">
      <c r="A11" s="13" t="inlineStr">
        <is>
          <t>OG0021_SC05_I</t>
        </is>
      </c>
      <c r="B11" s="14" t="n">
        <v>3</v>
      </c>
      <c r="C11" s="13" t="inlineStr">
        <is>
          <t>2nd Attempt</t>
        </is>
      </c>
      <c r="D11" s="14" t="n">
        <v>1.5</v>
      </c>
      <c r="E11" s="13" t="inlineStr">
        <is>
          <t>Similar to SC03; mixing these two is penalized less.</t>
        </is>
      </c>
      <c r="F11" s="14">
        <f>D11/SUM($D$9:$D$13)*100</f>
        <v/>
      </c>
    </row>
    <row r="12" ht="30" customHeight="1">
      <c r="A12" s="13" t="inlineStr">
        <is>
          <t>OG0021_SC06_I</t>
        </is>
      </c>
      <c r="B12" s="14" t="n">
        <v>4</v>
      </c>
      <c r="C12" s="13" t="inlineStr">
        <is>
          <t>Consequence / Reaction</t>
        </is>
      </c>
      <c r="D12" s="14" t="n">
        <v>1</v>
      </c>
      <c r="E12" s="13" t="inlineStr">
        <is>
          <t>Emotional turning-point; close to SC05 thematically — smallest penalty.</t>
        </is>
      </c>
      <c r="F12" s="14">
        <f>D12/SUM($D$9:$D$13)*100</f>
        <v/>
      </c>
    </row>
    <row r="13" ht="30" customHeight="1">
      <c r="A13" s="11" t="inlineStr">
        <is>
          <t>OG0021_SC10_I</t>
        </is>
      </c>
      <c r="B13" s="12" t="n">
        <v>5</v>
      </c>
      <c r="C13" s="11" t="inlineStr">
        <is>
          <t>Resolution (returns home)</t>
        </is>
      </c>
      <c r="D13" s="12" t="n">
        <v>2.5</v>
      </c>
      <c r="E13" s="11" t="inlineStr">
        <is>
          <t>Unambiguous final scene. Placing wrong = fundamental arc gap.</t>
        </is>
      </c>
      <c r="F13" s="12">
        <f>D13/SUM($D$9:$D$13)*100</f>
        <v/>
      </c>
    </row>
    <row r="14">
      <c r="A14" s="15" t="inlineStr">
        <is>
          <t>TOTAL</t>
        </is>
      </c>
      <c r="B14" s="2" t="n"/>
      <c r="C14" s="2" t="n"/>
      <c r="D14" s="15">
        <f>SUM(D9:D13)</f>
        <v/>
      </c>
      <c r="E14" s="2" t="n"/>
      <c r="F14" s="15">
        <f>SUM(F9:F13)</f>
        <v/>
      </c>
    </row>
    <row r="16" ht="22" customHeight="1">
      <c r="A16" s="16" t="inlineStr">
        <is>
          <t>SECTION B — Score Matrix: Points per (Scene, Submitted Position)</t>
        </is>
      </c>
    </row>
    <row r="17">
      <c r="A17" s="17" t="inlineStr">
        <is>
          <t>Scene \ Submitted Pos</t>
        </is>
      </c>
      <c r="B17" s="3" t="inlineStr">
        <is>
          <t>Pos 1</t>
        </is>
      </c>
      <c r="C17" s="3" t="inlineStr">
        <is>
          <t>Pos 2</t>
        </is>
      </c>
      <c r="D17" s="3" t="inlineStr">
        <is>
          <t>Pos 3</t>
        </is>
      </c>
      <c r="E17" s="3" t="inlineStr">
        <is>
          <t>Pos 4</t>
        </is>
      </c>
      <c r="F17" s="3" t="inlineStr">
        <is>
          <t>Pos 5</t>
        </is>
      </c>
    </row>
    <row r="18" ht="22" customHeight="1">
      <c r="A18" s="18" t="inlineStr">
        <is>
          <t>OG0021_SC01_I</t>
        </is>
      </c>
      <c r="B18" s="19" t="n">
        <v>27.8</v>
      </c>
      <c r="C18" s="20" t="n">
        <v>13.9</v>
      </c>
      <c r="D18" s="21" t="n">
        <v>0</v>
      </c>
      <c r="E18" s="21" t="n">
        <v>0</v>
      </c>
      <c r="F18" s="21" t="n">
        <v>0</v>
      </c>
    </row>
    <row r="19" ht="22" customHeight="1">
      <c r="A19" s="18" t="inlineStr">
        <is>
          <t>OG0021_SC03_I</t>
        </is>
      </c>
      <c r="B19" s="20" t="n">
        <v>8.300000000000001</v>
      </c>
      <c r="C19" s="19" t="n">
        <v>16.7</v>
      </c>
      <c r="D19" s="20" t="n">
        <v>8.300000000000001</v>
      </c>
      <c r="E19" s="21" t="n">
        <v>0</v>
      </c>
      <c r="F19" s="21" t="n">
        <v>0</v>
      </c>
    </row>
    <row r="20" ht="22" customHeight="1">
      <c r="A20" s="18" t="inlineStr">
        <is>
          <t>OG0021_SC05_I</t>
        </is>
      </c>
      <c r="B20" s="21" t="n">
        <v>0</v>
      </c>
      <c r="C20" s="20" t="n">
        <v>8.300000000000001</v>
      </c>
      <c r="D20" s="19" t="n">
        <v>16.7</v>
      </c>
      <c r="E20" s="20" t="n">
        <v>8.300000000000001</v>
      </c>
      <c r="F20" s="21" t="n">
        <v>0</v>
      </c>
    </row>
    <row r="21" ht="22" customHeight="1">
      <c r="A21" s="18" t="inlineStr">
        <is>
          <t>OG0021_SC06_I</t>
        </is>
      </c>
      <c r="B21" s="21" t="n">
        <v>0</v>
      </c>
      <c r="C21" s="21" t="n">
        <v>0</v>
      </c>
      <c r="D21" s="20" t="n">
        <v>5.5</v>
      </c>
      <c r="E21" s="19" t="n">
        <v>11.1</v>
      </c>
      <c r="F21" s="20" t="n">
        <v>5.5</v>
      </c>
    </row>
    <row r="22" ht="22" customHeight="1">
      <c r="A22" s="18" t="inlineStr">
        <is>
          <t>OG0021_SC10_I</t>
        </is>
      </c>
      <c r="B22" s="21" t="n">
        <v>0</v>
      </c>
      <c r="C22" s="21" t="n">
        <v>0</v>
      </c>
      <c r="D22" s="21" t="n">
        <v>0</v>
      </c>
      <c r="E22" s="20" t="n">
        <v>13.9</v>
      </c>
      <c r="F22" s="19" t="n">
        <v>27.8</v>
      </c>
    </row>
    <row r="24" ht="22" customHeight="1">
      <c r="A24" s="3" t="inlineStr">
        <is>
          <t>SECTION C — Example Answer Scores</t>
        </is>
      </c>
      <c r="B24" s="2" t="n"/>
      <c r="C24" s="2" t="n"/>
      <c r="D24" s="2" t="n"/>
    </row>
    <row r="25">
      <c r="A25" s="22" t="inlineStr">
        <is>
          <t>Example Student Answer</t>
        </is>
      </c>
      <c r="B25" s="22" t="inlineStr">
        <is>
          <t>Submitted Order</t>
        </is>
      </c>
      <c r="C25" s="22" t="inlineStr">
        <is>
          <t>Score</t>
        </is>
      </c>
      <c r="D25" s="22" t="inlineStr">
        <is>
          <t>Interpretation</t>
        </is>
      </c>
    </row>
    <row r="26" ht="20" customHeight="1">
      <c r="A26" s="4" t="inlineStr">
        <is>
          <t>Perfect</t>
        </is>
      </c>
      <c r="B26" s="4" t="inlineStr">
        <is>
          <t>SC01-SC03-SC05-SC06-SC10</t>
        </is>
      </c>
      <c r="C26" s="23" t="n">
        <v>100</v>
      </c>
      <c r="D26" s="4" t="inlineStr">
        <is>
          <t>Full story arc understood</t>
        </is>
      </c>
    </row>
    <row r="27" ht="20" customHeight="1">
      <c r="A27" s="4" t="inlineStr">
        <is>
          <t>SC05/SC06 swapped</t>
        </is>
      </c>
      <c r="B27" s="4" t="inlineStr">
        <is>
          <t>SC01-SC03-SC06-SC05-SC10</t>
        </is>
      </c>
      <c r="C27" s="24" t="n">
        <v>80</v>
      </c>
      <c r="D27" s="4" t="inlineStr">
        <is>
          <t>Adjacent attempt/consequence swap — penalty mild</t>
        </is>
      </c>
    </row>
    <row r="28" ht="20" customHeight="1">
      <c r="A28" s="4" t="inlineStr">
        <is>
          <t>Middle scrambled</t>
        </is>
      </c>
      <c r="B28" s="4" t="inlineStr">
        <is>
          <t>SC01-SC06-SC05-SC03-SC10</t>
        </is>
      </c>
      <c r="C28" s="25" t="n">
        <v>55</v>
      </c>
      <c r="D28" s="4" t="inlineStr">
        <is>
          <t>Anchor points correct; internal sequence weak</t>
        </is>
      </c>
    </row>
    <row r="29" ht="20" customHeight="1">
      <c r="A29" s="4" t="inlineStr">
        <is>
          <t>Beginning/end wrong</t>
        </is>
      </c>
      <c r="B29" s="4" t="inlineStr">
        <is>
          <t>SC03-SC01-SC10-SC05-SC06</t>
        </is>
      </c>
      <c r="C29" s="25" t="n">
        <v>30</v>
      </c>
      <c r="D29" s="4" t="inlineStr">
        <is>
          <t>Story arc fundamentally misunderstood</t>
        </is>
      </c>
    </row>
    <row r="31" ht="24" customHeight="1">
      <c r="A31" s="26" t="inlineStr">
        <is>
          <t>LRS: verb="answered" | object="quiz_OG0021_Q01_sequencing" | result.sg_element="setting,initiating_event,attempt,consequence,resolution" | result.sequence_submitted=[] | result.score_raw=&lt;n&gt; | result.position_scores={}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</sheetData>
  <mergeCells count="9">
    <mergeCell ref="A1:J1"/>
    <mergeCell ref="A5:J5"/>
    <mergeCell ref="A31:J31"/>
    <mergeCell ref="A16:J16"/>
    <mergeCell ref="A3:J3"/>
    <mergeCell ref="A4:J4"/>
    <mergeCell ref="A7:J7"/>
    <mergeCell ref="A24:J2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12" customWidth="1" min="4" max="4"/>
    <col width="20" customWidth="1" min="5" max="5"/>
    <col width="14" customWidth="1" min="6" max="6"/>
    <col width="24" customWidth="1" min="7" max="7"/>
    <col width="24" customWidth="1" min="8" max="8"/>
    <col width="22" customWidth="1" min="9" max="9"/>
  </cols>
  <sheetData>
    <row r="1" ht="26" customHeight="1">
      <c r="A1" s="27" t="inlineStr">
        <is>
          <t>Q02 — Sentence-Scene Match | Story Grammar: Initiating Event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8" t="inlineStr">
        <is>
          <t>Question: Read the sentence below. Which scene image does this sentence come from?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Target Sentence (SC02_ST01_N): "But one morning, he wakes up gray."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Option</t>
        </is>
      </c>
      <c r="B5" s="3" t="inlineStr">
        <is>
          <t>Scene Image</t>
        </is>
      </c>
      <c r="C5" s="3" t="inlineStr">
        <is>
          <t>Scene Description</t>
        </is>
      </c>
      <c r="D5" s="3" t="inlineStr">
        <is>
          <t>Correct?</t>
        </is>
      </c>
      <c r="E5" s="3" t="inlineStr">
        <is>
          <t>Score</t>
        </is>
      </c>
      <c r="F5" s="3" t="inlineStr">
        <is>
          <t>Story Grammar Role</t>
        </is>
      </c>
      <c r="G5" s="3" t="inlineStr">
        <is>
          <t>Distractor Rationale</t>
        </is>
      </c>
      <c r="H5" s="3" t="inlineStr">
        <is>
          <t>Weakness Signal</t>
        </is>
      </c>
      <c r="I5" s="3" t="inlineStr">
        <is>
          <t>LRS sg_element</t>
        </is>
      </c>
    </row>
    <row r="6" ht="36" customHeight="1">
      <c r="A6" s="23" t="inlineStr">
        <is>
          <t>A</t>
        </is>
      </c>
      <c r="B6" s="11" t="inlineStr">
        <is>
          <t>OG0021_SC02_I</t>
        </is>
      </c>
      <c r="C6" s="11" t="inlineStr">
        <is>
          <t>Milo wakes up gray, looks sad</t>
        </is>
      </c>
      <c r="D6" s="23" t="inlineStr">
        <is>
          <t>YES</t>
        </is>
      </c>
      <c r="E6" s="23" t="n">
        <v>100</v>
      </c>
      <c r="F6" s="11" t="inlineStr">
        <is>
          <t>Initiating Event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initiating_event</t>
        </is>
      </c>
    </row>
    <row r="7" ht="36" customHeight="1">
      <c r="A7" s="29" t="inlineStr">
        <is>
          <t>B</t>
        </is>
      </c>
      <c r="B7" s="4" t="inlineStr">
        <is>
          <t>OG0021_SC03_I</t>
        </is>
      </c>
      <c r="C7" s="4" t="inlineStr">
        <is>
          <t>Milo in forest, meets butterfly</t>
        </is>
      </c>
      <c r="D7" s="29" t="inlineStr">
        <is>
          <t>NO</t>
        </is>
      </c>
      <c r="E7" s="29" t="n">
        <v>20</v>
      </c>
      <c r="F7" s="4" t="inlineStr">
        <is>
          <t>Attempt</t>
        </is>
      </c>
      <c r="G7" s="4" t="inlineStr">
        <is>
          <t>Forest scene; student conflates gray mood with search</t>
        </is>
      </c>
      <c r="H7" s="4" t="inlineStr">
        <is>
          <t>Understands problem led to action; misidentifies exact scene</t>
        </is>
      </c>
      <c r="I7" s="4" t="inlineStr">
        <is>
          <t>attempt</t>
        </is>
      </c>
    </row>
    <row r="8" ht="36" customHeight="1">
      <c r="A8" s="24" t="inlineStr">
        <is>
          <t>C</t>
        </is>
      </c>
      <c r="B8" s="4" t="inlineStr">
        <is>
          <t>OG0021_SC06_I</t>
        </is>
      </c>
      <c r="C8" s="4" t="inlineStr">
        <is>
          <t>Milo sits sad by blue pond</t>
        </is>
      </c>
      <c r="D8" s="24" t="inlineStr">
        <is>
          <t>NO</t>
        </is>
      </c>
      <c r="E8" s="24" t="n">
        <v>30</v>
      </c>
      <c r="F8" s="4" t="inlineStr">
        <is>
          <t>Consequence/Reaction</t>
        </is>
      </c>
      <c r="G8" s="4" t="inlineStr">
        <is>
          <t>Also sad/gray in tone — emotionally similar</t>
        </is>
      </c>
      <c r="H8" s="4" t="inlineStr">
        <is>
          <t>Focuses on emotion not specific event; shallow literal comprehension</t>
        </is>
      </c>
      <c r="I8" s="4" t="inlineStr">
        <is>
          <t>consequence</t>
        </is>
      </c>
    </row>
    <row r="9" ht="36" customHeight="1">
      <c r="A9" s="25" t="inlineStr">
        <is>
          <t>D</t>
        </is>
      </c>
      <c r="B9" s="4" t="inlineStr">
        <is>
          <t>OG0021_SC09_I</t>
        </is>
      </c>
      <c r="C9" s="4" t="inlineStr">
        <is>
          <t>Colors return — Milo glowing</t>
        </is>
      </c>
      <c r="D9" s="25" t="inlineStr">
        <is>
          <t>NO</t>
        </is>
      </c>
      <c r="E9" s="25" t="n">
        <v>0</v>
      </c>
      <c r="F9" s="4" t="inlineStr">
        <is>
          <t>Resolution</t>
        </is>
      </c>
      <c r="G9" s="4" t="inlineStr">
        <is>
          <t>Opposite of gray; confuses color change direction</t>
        </is>
      </c>
      <c r="H9" s="4" t="inlineStr">
        <is>
          <t>No story direction understanding; likely guessing</t>
        </is>
      </c>
      <c r="I9" s="4" t="inlineStr">
        <is>
          <t>resolution</t>
        </is>
      </c>
    </row>
    <row r="11" ht="22" customHeight="1">
      <c r="A11" s="26" t="inlineStr">
        <is>
          <t>LRS: verb="answered" | object="quiz_OG0021_Q02_sent_match" | result.sg_element="initiating_event" | result.option_selected=&lt;A/B/C/D&gt; | result.score_raw=&lt;n&gt;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24" customWidth="1" min="9" max="9"/>
  </cols>
  <sheetData>
    <row r="1" ht="26" customHeight="1">
      <c r="A1" s="6" t="inlineStr">
        <is>
          <t>Q03 — Sentence Unscramble | Story Grammar: Attempt</t>
        </is>
      </c>
    </row>
    <row r="2" ht="22" customHeight="1">
      <c r="A2" s="7" t="inlineStr">
        <is>
          <t>Question: The words below are mixed up. Drag them into the correct order to make a sentence.</t>
        </is>
      </c>
    </row>
    <row r="3" ht="22" customHeight="1">
      <c r="A3" s="8" t="inlineStr">
        <is>
          <t>Source: SC04_ST02_N  |  Correct: "My color helps me fly."</t>
        </is>
      </c>
    </row>
    <row r="4" ht="22" customHeight="1">
      <c r="A4" s="10" t="inlineStr">
        <is>
          <t>Scrambled tokens presented to student: [ helps ] [ fly. ] [ color ] [ My ] [ me ]</t>
        </is>
      </c>
    </row>
    <row r="6" ht="22" customHeight="1">
      <c r="A6" s="3" t="inlineStr">
        <is>
          <t>SECTION A — Per-Word Position Weight</t>
        </is>
      </c>
      <c r="B6" s="2" t="n"/>
      <c r="C6" s="2" t="n"/>
      <c r="D6" s="2" t="n"/>
      <c r="E6" s="2" t="n"/>
      <c r="F6" s="2" t="n"/>
      <c r="G6" s="2" t="n"/>
    </row>
    <row r="7">
      <c r="A7" s="3" t="inlineStr">
        <is>
          <t>Word Token</t>
        </is>
      </c>
      <c r="B7" s="3" t="inlineStr">
        <is>
          <t>Correct Pos</t>
        </is>
      </c>
      <c r="C7" s="3" t="inlineStr">
        <is>
          <t>Grammatical Role</t>
        </is>
      </c>
      <c r="D7" s="3" t="inlineStr">
        <is>
          <t>Word Weight</t>
        </is>
      </c>
      <c r="E7" s="3" t="inlineStr">
        <is>
          <t>Weight Rationale</t>
        </is>
      </c>
      <c r="F7" s="3" t="inlineStr">
        <is>
          <t>Max Points</t>
        </is>
      </c>
      <c r="G7" s="3" t="inlineStr">
        <is>
          <t>Cumulative</t>
        </is>
      </c>
    </row>
    <row r="8" ht="30" customHeight="1">
      <c r="A8" s="11" t="inlineStr">
        <is>
          <t>My</t>
        </is>
      </c>
      <c r="B8" s="30" t="n">
        <v>1</v>
      </c>
      <c r="C8" s="11" t="inlineStr">
        <is>
          <t>Possessive determiner (opener)</t>
        </is>
      </c>
      <c r="D8" s="30" t="n">
        <v>2</v>
      </c>
      <c r="E8" s="4" t="inlineStr">
        <is>
          <t>Marks ownership/perspective; wrong placement = syntax confusion</t>
        </is>
      </c>
      <c r="F8" s="14">
        <f>D8/SUM($D$8:$D$12)*100</f>
        <v/>
      </c>
      <c r="G8" s="30">
        <f>F8</f>
        <v/>
      </c>
    </row>
    <row r="9" ht="30" customHeight="1">
      <c r="A9" s="11" t="inlineStr">
        <is>
          <t>color</t>
        </is>
      </c>
      <c r="B9" s="30" t="n">
        <v>2</v>
      </c>
      <c r="C9" s="11" t="inlineStr">
        <is>
          <t>Subject noun</t>
        </is>
      </c>
      <c r="D9" s="30" t="n">
        <v>1.5</v>
      </c>
      <c r="E9" s="4" t="inlineStr">
        <is>
          <t>Content word; confusion with "me" = noun/pronoun error</t>
        </is>
      </c>
      <c r="F9" s="14">
        <f>D9/SUM($D$8:$D$12)*100</f>
        <v/>
      </c>
      <c r="G9" s="30">
        <f>F8+F9</f>
        <v/>
      </c>
    </row>
    <row r="10" ht="30" customHeight="1">
      <c r="A10" s="11" t="inlineStr">
        <is>
          <t>helps</t>
        </is>
      </c>
      <c r="B10" s="30" t="n">
        <v>3</v>
      </c>
      <c r="C10" s="11" t="inlineStr">
        <is>
          <t>Main verb</t>
        </is>
      </c>
      <c r="D10" s="30" t="n">
        <v>2</v>
      </c>
      <c r="E10" s="4" t="inlineStr">
        <is>
          <t>Verb position critical for SVO structure</t>
        </is>
      </c>
      <c r="F10" s="14">
        <f>D10/SUM($D$8:$D$12)*100</f>
        <v/>
      </c>
      <c r="G10" s="30">
        <f>F8+F9+F10</f>
        <v/>
      </c>
    </row>
    <row r="11" ht="30" customHeight="1">
      <c r="A11" s="11" t="inlineStr">
        <is>
          <t>me</t>
        </is>
      </c>
      <c r="B11" s="30" t="n">
        <v>4</v>
      </c>
      <c r="C11" s="11" t="inlineStr">
        <is>
          <t>Object pronoun</t>
        </is>
      </c>
      <c r="D11" s="30" t="n">
        <v>1.5</v>
      </c>
      <c r="E11" s="4" t="inlineStr">
        <is>
          <t>Swapping with "color" = common noun/pronoun confusion</t>
        </is>
      </c>
      <c r="F11" s="14">
        <f>D11/SUM($D$8:$D$12)*100</f>
        <v/>
      </c>
      <c r="G11" s="30">
        <f>F8+F9+F10+F11</f>
        <v/>
      </c>
    </row>
    <row r="12" ht="30" customHeight="1">
      <c r="A12" s="11" t="inlineStr">
        <is>
          <t>fly.</t>
        </is>
      </c>
      <c r="B12" s="30" t="n">
        <v>5</v>
      </c>
      <c r="C12" s="11" t="inlineStr">
        <is>
          <t>Infinitive complement (closer)</t>
        </is>
      </c>
      <c r="D12" s="30" t="n">
        <v>2</v>
      </c>
      <c r="E12" s="4" t="inlineStr">
        <is>
          <t>Closing content word; missing = incomplete predicate</t>
        </is>
      </c>
      <c r="F12" s="14">
        <f>D12/SUM($D$8:$D$12)*100</f>
        <v/>
      </c>
      <c r="G12" s="30">
        <f>SUM(F8:F12)</f>
        <v/>
      </c>
    </row>
    <row r="13">
      <c r="A13" s="15" t="inlineStr">
        <is>
          <t>TOTAL</t>
        </is>
      </c>
      <c r="B13" s="2" t="n"/>
      <c r="C13" s="2" t="n"/>
      <c r="D13" s="15">
        <f>SUM(D8:D12)</f>
        <v/>
      </c>
      <c r="E13" s="2" t="n"/>
      <c r="F13" s="15">
        <f>SUM(F8:F12)</f>
        <v/>
      </c>
      <c r="G13" s="15" t="inlineStr">
        <is>
          <t>100 check</t>
        </is>
      </c>
    </row>
    <row r="15" ht="22" customHeight="1">
      <c r="A15" s="3" t="inlineStr">
        <is>
          <t>SECTION B — Partial Score Examples</t>
        </is>
      </c>
      <c r="B15" s="2" t="n"/>
      <c r="C15" s="2" t="n"/>
      <c r="D15" s="2" t="n"/>
    </row>
    <row r="16">
      <c r="A16" s="22" t="inlineStr">
        <is>
          <t>Student Answer</t>
        </is>
      </c>
      <c r="B16" s="22" t="inlineStr">
        <is>
          <t>Correct Positions</t>
        </is>
      </c>
      <c r="C16" s="22" t="inlineStr">
        <is>
          <t>Score</t>
        </is>
      </c>
      <c r="D16" s="22" t="inlineStr">
        <is>
          <t>Weakness Signal</t>
        </is>
      </c>
    </row>
    <row r="17" ht="22" customHeight="1">
      <c r="A17" s="4" t="inlineStr">
        <is>
          <t>My color helps me fly.</t>
        </is>
      </c>
      <c r="B17" s="4" t="inlineStr">
        <is>
          <t>5/5</t>
        </is>
      </c>
      <c r="C17" s="23" t="n">
        <v>100</v>
      </c>
      <c r="D17" s="4" t="inlineStr">
        <is>
          <t>—</t>
        </is>
      </c>
    </row>
    <row r="18" ht="22" customHeight="1">
      <c r="A18" s="4" t="inlineStr">
        <is>
          <t>My color helps fly. me</t>
        </is>
      </c>
      <c r="B18" s="4" t="inlineStr">
        <is>
          <t>4/5 (me/fly swapped)</t>
        </is>
      </c>
      <c r="C18" s="24" t="n">
        <v>73</v>
      </c>
      <c r="D18" s="4" t="inlineStr">
        <is>
          <t>SVO complement ordering</t>
        </is>
      </c>
    </row>
    <row r="19" ht="22" customHeight="1">
      <c r="A19" s="4" t="inlineStr">
        <is>
          <t>color My helps me fly.</t>
        </is>
      </c>
      <c r="B19" s="4" t="inlineStr">
        <is>
          <t>3/5 (My/color swapped)</t>
        </is>
      </c>
      <c r="C19" s="24" t="n">
        <v>60</v>
      </c>
      <c r="D19" s="4" t="inlineStr">
        <is>
          <t>Possessive determiner syntax</t>
        </is>
      </c>
    </row>
    <row r="20" ht="22" customHeight="1">
      <c r="A20" s="4" t="inlineStr">
        <is>
          <t>helps My color me fly.</t>
        </is>
      </c>
      <c r="B20" s="4" t="inlineStr">
        <is>
          <t>2/5 (verb fronted)</t>
        </is>
      </c>
      <c r="C20" s="25" t="n">
        <v>35</v>
      </c>
      <c r="D20" s="4" t="inlineStr">
        <is>
          <t>Basic SVO structure</t>
        </is>
      </c>
    </row>
    <row r="21" ht="22" customHeight="1">
      <c r="A21" s="4" t="inlineStr">
        <is>
          <t>fly. me color helps My</t>
        </is>
      </c>
      <c r="B21" s="4" t="inlineStr">
        <is>
          <t>0/5</t>
        </is>
      </c>
      <c r="C21" s="25" t="n">
        <v>0</v>
      </c>
      <c r="D21" s="4" t="inlineStr">
        <is>
          <t>No syntactic understanding</t>
        </is>
      </c>
    </row>
    <row r="23" ht="22" customHeight="1">
      <c r="A23" s="26" t="inlineStr">
        <is>
          <t>LRS: verb="answered" | object="quiz_OG0021_Q03_unscramble" | result.sg_element="attempt" | result.word_order_submitted=[] | result.score_raw=&lt;n&gt; | result.words_correct=&lt;n&gt;/5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</sheetData>
  <mergeCells count="7">
    <mergeCell ref="A15:I15"/>
    <mergeCell ref="A2:I2"/>
    <mergeCell ref="A1:I1"/>
    <mergeCell ref="A23:I23"/>
    <mergeCell ref="A3:I3"/>
    <mergeCell ref="A6:I6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27" t="inlineStr">
        <is>
          <t>Q04 — Main Idea MCQ | Story Grammar: Theme / Resolution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8" t="inlineStr">
        <is>
          <t>Question: What is the main message of this story?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Option</t>
        </is>
      </c>
      <c r="B4" s="3" t="inlineStr">
        <is>
          <t>Option Text</t>
        </is>
      </c>
      <c r="C4" s="3" t="inlineStr">
        <is>
          <t>Correct?</t>
        </is>
      </c>
      <c r="D4" s="3" t="inlineStr">
        <is>
          <t>Score</t>
        </is>
      </c>
      <c r="E4" s="3" t="inlineStr">
        <is>
          <t>Story Grammar Role</t>
        </is>
      </c>
      <c r="F4" s="3" t="inlineStr">
        <is>
          <t>Distractor Type</t>
        </is>
      </c>
      <c r="G4" s="3" t="inlineStr">
        <is>
          <t>Distractor Rationale</t>
        </is>
      </c>
      <c r="H4" s="3" t="inlineStr">
        <is>
          <t>Weakness Signal</t>
        </is>
      </c>
      <c r="I4" s="3" t="inlineStr">
        <is>
          <t>LRS sg_element</t>
        </is>
      </c>
    </row>
    <row r="5" ht="36" customHeight="1">
      <c r="A5" s="29" t="inlineStr">
        <is>
          <t>A</t>
        </is>
      </c>
      <c r="B5" s="4" t="inlineStr">
        <is>
          <t>Chameleons can change their colors.</t>
        </is>
      </c>
      <c r="C5" s="29" t="inlineStr">
        <is>
          <t>NO</t>
        </is>
      </c>
      <c r="D5" s="29" t="n">
        <v>10</v>
      </c>
      <c r="E5" s="4" t="inlineStr">
        <is>
          <t>Setting detail</t>
        </is>
      </c>
      <c r="F5" s="4" t="inlineStr">
        <is>
          <t>Literal distractor</t>
        </is>
      </c>
      <c r="G5" s="4" t="inlineStr">
        <is>
          <t>Takes animal fact instead of theme</t>
        </is>
      </c>
      <c r="H5" s="4" t="inlineStr">
        <is>
          <t>Surface reader; cannot distinguish theme from setting</t>
        </is>
      </c>
      <c r="I5" s="4" t="inlineStr">
        <is>
          <t>setting</t>
        </is>
      </c>
    </row>
    <row r="6" ht="36" customHeight="1">
      <c r="A6" s="24" t="inlineStr">
        <is>
          <t>B</t>
        </is>
      </c>
      <c r="B6" s="4" t="inlineStr">
        <is>
          <t>Asking for help is important.</t>
        </is>
      </c>
      <c r="C6" s="24" t="inlineStr">
        <is>
          <t>NO</t>
        </is>
      </c>
      <c r="D6" s="24" t="n">
        <v>30</v>
      </c>
      <c r="E6" s="4" t="inlineStr">
        <is>
          <t>Attempt misread</t>
        </is>
      </c>
      <c r="F6" s="4" t="inlineStr">
        <is>
          <t>Partial theme</t>
        </is>
      </c>
      <c r="G6" s="4" t="inlineStr">
        <is>
          <t>Recognizes attempts but misses internal resolution</t>
        </is>
      </c>
      <c r="H6" s="4" t="inlineStr">
        <is>
          <t>Focuses on action not internal discovery; mid-level comprehension</t>
        </is>
      </c>
      <c r="I6" s="4" t="inlineStr">
        <is>
          <t>attempt</t>
        </is>
      </c>
    </row>
    <row r="7" ht="36" customHeight="1">
      <c r="A7" s="23" t="inlineStr">
        <is>
          <t>C</t>
        </is>
      </c>
      <c r="B7" s="4" t="inlineStr">
        <is>
          <t>Your true colors come from inside you.</t>
        </is>
      </c>
      <c r="C7" s="23" t="inlineStr">
        <is>
          <t>YES</t>
        </is>
      </c>
      <c r="D7" s="23" t="n">
        <v>100</v>
      </c>
      <c r="E7" s="4" t="inlineStr">
        <is>
          <t>Theme / Resolution</t>
        </is>
      </c>
      <c r="F7" s="4" t="inlineStr">
        <is>
          <t>Correct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theme</t>
        </is>
      </c>
    </row>
    <row r="8" ht="36" customHeight="1">
      <c r="A8" s="29" t="inlineStr">
        <is>
          <t>D</t>
        </is>
      </c>
      <c r="B8" s="4" t="inlineStr">
        <is>
          <t>Colors are found in nature — butterflies and flowers.</t>
        </is>
      </c>
      <c r="C8" s="29" t="inlineStr">
        <is>
          <t>NO</t>
        </is>
      </c>
      <c r="D8" s="29" t="n">
        <v>20</v>
      </c>
      <c r="E8" s="4" t="inlineStr">
        <is>
          <t>Detail distractor</t>
        </is>
      </c>
      <c r="F8" s="4" t="inlineStr">
        <is>
          <t>Plot detail</t>
        </is>
      </c>
      <c r="G8" s="4" t="inlineStr">
        <is>
          <t>Remembers specific scenes; cannot extract abstract meaning</t>
        </is>
      </c>
      <c r="H8" s="4" t="inlineStr">
        <is>
          <t>Episodic memory strong; thematic inference weak</t>
        </is>
      </c>
      <c r="I8" s="4" t="inlineStr">
        <is>
          <t>attempt</t>
        </is>
      </c>
    </row>
    <row r="10" ht="22" customHeight="1">
      <c r="A10" s="26" t="inlineStr">
        <is>
          <t>LRS: verb="answered" | object="quiz_OG0021_Q04_main_idea" | result.sg_element="theme" | result.option_selected=&lt;A/B/C/D&gt; | result.score_raw=&lt;n&gt; | result.semantic_distance=&lt;0.0-1.0&gt;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27" t="inlineStr">
        <is>
          <t>Q05 — Character Goal MCQ | Story Grammar: Initiating Event / Goal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8" t="inlineStr">
        <is>
          <t>Question: What does Milo want to find at the beginning of the story?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Option</t>
        </is>
      </c>
      <c r="B4" s="3" t="inlineStr">
        <is>
          <t>Option Text</t>
        </is>
      </c>
      <c r="C4" s="3" t="inlineStr">
        <is>
          <t>Correct?</t>
        </is>
      </c>
      <c r="D4" s="3" t="inlineStr">
        <is>
          <t>Score</t>
        </is>
      </c>
      <c r="E4" s="3" t="inlineStr">
        <is>
          <t>Story Grammar Role</t>
        </is>
      </c>
      <c r="F4" s="3" t="inlineStr">
        <is>
          <t>Distractor Type</t>
        </is>
      </c>
      <c r="G4" s="3" t="inlineStr">
        <is>
          <t>Distractor Rationale</t>
        </is>
      </c>
      <c r="H4" s="3" t="inlineStr">
        <is>
          <t>Weakness Signal</t>
        </is>
      </c>
      <c r="I4" s="3" t="inlineStr">
        <is>
          <t>LRS sg_element</t>
        </is>
      </c>
    </row>
    <row r="5" ht="36" customHeight="1">
      <c r="A5" s="23" t="inlineStr">
        <is>
          <t>A</t>
        </is>
      </c>
      <c r="B5" s="4" t="inlineStr">
        <is>
          <t>His lost color</t>
        </is>
      </c>
      <c r="C5" s="23" t="inlineStr">
        <is>
          <t>YES</t>
        </is>
      </c>
      <c r="D5" s="23" t="n">
        <v>100</v>
      </c>
      <c r="E5" s="4" t="inlineStr">
        <is>
          <t>Initiating Event / Goal</t>
        </is>
      </c>
      <c r="F5" s="4" t="inlineStr">
        <is>
          <t>Correct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initiating_event</t>
        </is>
      </c>
    </row>
    <row r="6" ht="36" customHeight="1">
      <c r="A6" s="24" t="inlineStr">
        <is>
          <t>B</t>
        </is>
      </c>
      <c r="B6" s="4" t="inlineStr">
        <is>
          <t>A new friend in the forest</t>
        </is>
      </c>
      <c r="C6" s="24" t="inlineStr">
        <is>
          <t>NO</t>
        </is>
      </c>
      <c r="D6" s="24" t="n">
        <v>25</v>
      </c>
      <c r="E6" s="4" t="inlineStr">
        <is>
          <t>Attempt misread</t>
        </is>
      </c>
      <c r="F6" s="4" t="inlineStr">
        <is>
          <t>Setting distractor</t>
        </is>
      </c>
      <c r="G6" s="4" t="inlineStr">
        <is>
          <t>Remembers forest scene; confuses goal with setting</t>
        </is>
      </c>
      <c r="H6" s="4" t="inlineStr">
        <is>
          <t>Cannot extract protagonist goal from setting details</t>
        </is>
      </c>
      <c r="I6" s="4" t="inlineStr">
        <is>
          <t>setting</t>
        </is>
      </c>
    </row>
    <row r="7" ht="36" customHeight="1">
      <c r="A7" s="25" t="inlineStr">
        <is>
          <t>C</t>
        </is>
      </c>
      <c r="B7" s="4" t="inlineStr">
        <is>
          <t>Food for butterflies and flowers</t>
        </is>
      </c>
      <c r="C7" s="25" t="inlineStr">
        <is>
          <t>NO</t>
        </is>
      </c>
      <c r="D7" s="25" t="n">
        <v>0</v>
      </c>
      <c r="E7" s="4" t="inlineStr">
        <is>
          <t>Unrelated detail</t>
        </is>
      </c>
      <c r="F7" s="4" t="inlineStr">
        <is>
          <t>Wild distractor</t>
        </is>
      </c>
      <c r="G7" s="4" t="inlineStr">
        <is>
          <t>No narrative connection</t>
        </is>
      </c>
      <c r="H7" s="4" t="inlineStr">
        <is>
          <t>Random guess or no comprehension</t>
        </is>
      </c>
      <c r="I7" s="4" t="inlineStr">
        <is>
          <t>—</t>
        </is>
      </c>
    </row>
    <row r="8" ht="36" customHeight="1">
      <c r="A8" s="29" t="inlineStr">
        <is>
          <t>D</t>
        </is>
      </c>
      <c r="B8" s="4" t="inlineStr">
        <is>
          <t>A place to sit and rest</t>
        </is>
      </c>
      <c r="C8" s="29" t="inlineStr">
        <is>
          <t>NO</t>
        </is>
      </c>
      <c r="D8" s="29" t="n">
        <v>15</v>
      </c>
      <c r="E8" s="4" t="inlineStr">
        <is>
          <t>Consequence misread</t>
        </is>
      </c>
      <c r="F8" s="4" t="inlineStr">
        <is>
          <t>Partial event</t>
        </is>
      </c>
      <c r="G8" s="4" t="inlineStr">
        <is>
          <t>Recalls pond scene (sitting) but misses emotional cause</t>
        </is>
      </c>
      <c r="H8" s="4" t="inlineStr">
        <is>
          <t>Story comprehension at surface action level only</t>
        </is>
      </c>
      <c r="I8" s="4" t="inlineStr">
        <is>
          <t>consequence</t>
        </is>
      </c>
    </row>
    <row r="10" ht="22" customHeight="1">
      <c r="A10" s="26" t="inlineStr">
        <is>
          <t>LRS: verb="answered" | object="quiz_OG0021_Q05_char_goal" | result.sg_element="initiating_event" | result.option_selected=&lt;A/B/C/D&gt; | result.score_raw=&lt;n&gt;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20" customWidth="1" min="4" max="4"/>
    <col width="20" customWidth="1" min="5" max="5"/>
    <col width="24" customWidth="1" min="6" max="6"/>
    <col width="24" customWidth="1" min="7" max="7"/>
    <col width="22" customWidth="1" min="8" max="8"/>
    <col width="20" customWidth="1" min="9" max="9"/>
  </cols>
  <sheetData>
    <row r="1" ht="26" customHeight="1">
      <c r="A1" s="27" t="inlineStr">
        <is>
          <t>Q06 — Emotion Identification MCQ | Story Grammar: Reaction / Internal Response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8" t="inlineStr">
        <is>
          <t>Question: Look at scene SC06. How does Milo feel in this scene?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31" t="inlineStr">
        <is>
          <t>Source: SC06_Emotion = Neutral, Sad  |  Scene text (SC06_ST01-ST06_N): "Milo is sad. Everyone has their own color. He sits by a blue pond. He cries."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Option</t>
        </is>
      </c>
      <c r="B5" s="3" t="inlineStr">
        <is>
          <t>Option Text</t>
        </is>
      </c>
      <c r="C5" s="3" t="inlineStr">
        <is>
          <t>Correct?</t>
        </is>
      </c>
      <c r="D5" s="3" t="inlineStr">
        <is>
          <t>Score</t>
        </is>
      </c>
      <c r="E5" s="3" t="inlineStr">
        <is>
          <t>Story Grammar Role</t>
        </is>
      </c>
      <c r="F5" s="3" t="inlineStr">
        <is>
          <t>Distractor Type</t>
        </is>
      </c>
      <c r="G5" s="3" t="inlineStr">
        <is>
          <t>Distractor Rationale</t>
        </is>
      </c>
      <c r="H5" s="3" t="inlineStr">
        <is>
          <t>Weakness Signal</t>
        </is>
      </c>
      <c r="I5" s="3" t="inlineStr">
        <is>
          <t>LRS sg_element</t>
        </is>
      </c>
    </row>
    <row r="6" ht="40" customHeight="1">
      <c r="A6" s="25" t="inlineStr">
        <is>
          <t>A</t>
        </is>
      </c>
      <c r="B6" s="4" t="inlineStr">
        <is>
          <t>Happy and excited</t>
        </is>
      </c>
      <c r="C6" s="25" t="inlineStr">
        <is>
          <t>NO</t>
        </is>
      </c>
      <c r="D6" s="25" t="n">
        <v>0</v>
      </c>
      <c r="E6" s="4" t="inlineStr">
        <is>
          <t>Internal Response mismatch</t>
        </is>
      </c>
      <c r="F6" s="4" t="inlineStr">
        <is>
          <t>Opposite emotion</t>
        </is>
      </c>
      <c r="G6" s="4" t="inlineStr">
        <is>
          <t>Confuses resolution emotion (SC09) with this scene</t>
        </is>
      </c>
      <c r="H6" s="4" t="inlineStr">
        <is>
          <t>Cannot map emotions to specific moments; temporal confusion</t>
        </is>
      </c>
      <c r="I6" s="4" t="inlineStr">
        <is>
          <t>internal_response</t>
        </is>
      </c>
    </row>
    <row r="7" ht="40" customHeight="1">
      <c r="A7" s="23" t="inlineStr">
        <is>
          <t>B</t>
        </is>
      </c>
      <c r="B7" s="4" t="inlineStr">
        <is>
          <t>Sad and disappointed</t>
        </is>
      </c>
      <c r="C7" s="23" t="inlineStr">
        <is>
          <t>YES</t>
        </is>
      </c>
      <c r="D7" s="23" t="n">
        <v>100</v>
      </c>
      <c r="E7" s="4" t="inlineStr">
        <is>
          <t>Reaction / Internal Response</t>
        </is>
      </c>
      <c r="F7" s="4" t="inlineStr">
        <is>
          <t>Correct</t>
        </is>
      </c>
      <c r="G7" s="4" t="inlineStr">
        <is>
          <t>SC06_Emotion=Sad confirmed in source data</t>
        </is>
      </c>
      <c r="H7" s="4" t="inlineStr">
        <is>
          <t>—</t>
        </is>
      </c>
      <c r="I7" s="4" t="inlineStr">
        <is>
          <t>reaction</t>
        </is>
      </c>
    </row>
    <row r="8" ht="40" customHeight="1">
      <c r="A8" s="24" t="inlineStr">
        <is>
          <t>C</t>
        </is>
      </c>
      <c r="B8" s="4" t="inlineStr">
        <is>
          <t>Angry and frustrated</t>
        </is>
      </c>
      <c r="C8" s="24" t="inlineStr">
        <is>
          <t>NO</t>
        </is>
      </c>
      <c r="D8" s="24" t="n">
        <v>40</v>
      </c>
      <c r="E8" s="4" t="inlineStr">
        <is>
          <t>Partial emotion read</t>
        </is>
      </c>
      <c r="F8" s="4" t="inlineStr">
        <is>
          <t>Adjacent negative emotion</t>
        </is>
      </c>
      <c r="G8" s="4" t="inlineStr">
        <is>
          <t>Recognizes negative valence but mislabels intensity</t>
        </is>
      </c>
      <c r="H8" s="4" t="inlineStr">
        <is>
          <t>Emotion at valence level only; cannot distinguish sad vs angry</t>
        </is>
      </c>
      <c r="I8" s="4" t="inlineStr">
        <is>
          <t>reaction</t>
        </is>
      </c>
    </row>
    <row r="9" ht="40" customHeight="1">
      <c r="A9" s="29" t="inlineStr">
        <is>
          <t>D</t>
        </is>
      </c>
      <c r="B9" s="4" t="inlineStr">
        <is>
          <t>Curious and hopeful</t>
        </is>
      </c>
      <c r="C9" s="29" t="inlineStr">
        <is>
          <t>NO</t>
        </is>
      </c>
      <c r="D9" s="29" t="n">
        <v>20</v>
      </c>
      <c r="E9" s="4" t="inlineStr">
        <is>
          <t>Anticipatory read</t>
        </is>
      </c>
      <c r="F9" s="4" t="inlineStr">
        <is>
          <t>Forward-looking distractor</t>
        </is>
      </c>
      <c r="G9" s="4" t="inlineStr">
        <is>
          <t>Projects pond discovery onto this moment</t>
        </is>
      </c>
      <c r="H9" s="4" t="inlineStr">
        <is>
          <t>Skips current state; reads ahead narratively</t>
        </is>
      </c>
      <c r="I9" s="4" t="inlineStr">
        <is>
          <t>internal_response</t>
        </is>
      </c>
    </row>
    <row r="11" ht="22" customHeight="1">
      <c r="A11" s="26" t="inlineStr">
        <is>
          <t>LRS: verb="answered" | object="quiz_OG0021_Q06_emotion" | result.sg_element="reaction" | result.option_selected=&lt;A/B/C/D&gt; | result.score_raw=&lt;n&gt; | result.semantic_distance=&lt;0.0-1.0&gt;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</sheetData>
  <mergeCells count="4">
    <mergeCell ref="A1:I1"/>
    <mergeCell ref="A3:I3"/>
    <mergeCell ref="A2:I2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8" customWidth="1" min="4" max="4"/>
    <col width="18" customWidth="1" min="5" max="5"/>
    <col width="28" customWidth="1" min="6" max="6"/>
    <col width="28" customWidth="1" min="7" max="7"/>
  </cols>
  <sheetData>
    <row r="1" ht="26" customHeight="1">
      <c r="A1" s="6" t="inlineStr">
        <is>
          <t>Global Scoring Rules — OG0021 Reading Quiz</t>
        </is>
      </c>
    </row>
    <row r="3" ht="22" customHeight="1">
      <c r="A3" s="3" t="inlineStr">
        <is>
          <t>SECTION A — Score Band Interpretation</t>
        </is>
      </c>
      <c r="B3" s="2" t="n"/>
      <c r="C3" s="2" t="n"/>
      <c r="D3" s="2" t="n"/>
      <c r="E3" s="2" t="n"/>
      <c r="F3" s="2" t="n"/>
      <c r="G3" s="2" t="n"/>
    </row>
    <row r="4">
      <c r="A4" s="22" t="inlineStr">
        <is>
          <t>Band</t>
        </is>
      </c>
      <c r="B4" s="22" t="inlineStr">
        <is>
          <t>Score Range</t>
        </is>
      </c>
      <c r="C4" s="22" t="inlineStr">
        <is>
          <t>Color</t>
        </is>
      </c>
      <c r="D4" s="22" t="inlineStr">
        <is>
          <t>LRS Risk Signal</t>
        </is>
      </c>
      <c r="E4" s="22" t="inlineStr">
        <is>
          <t>SG Insight</t>
        </is>
      </c>
      <c r="F4" s="22" t="inlineStr">
        <is>
          <t>MRI Profile Impact</t>
        </is>
      </c>
      <c r="G4" s="22" t="inlineStr">
        <is>
          <t>Recommendation</t>
        </is>
      </c>
    </row>
    <row r="5" ht="28" customHeight="1">
      <c r="A5" s="4" t="inlineStr">
        <is>
          <t>Mastery</t>
        </is>
      </c>
      <c r="B5" s="23" t="inlineStr">
        <is>
          <t>85-100</t>
        </is>
      </c>
      <c r="C5" s="4" t="inlineStr">
        <is>
          <t>Green</t>
        </is>
      </c>
      <c r="D5" s="4" t="inlineStr">
        <is>
          <t>None</t>
        </is>
      </c>
      <c r="E5" s="4" t="inlineStr">
        <is>
          <t>Full SG element understood</t>
        </is>
      </c>
      <c r="F5" s="4" t="inlineStr">
        <is>
          <t>V+/L+ in profile</t>
        </is>
      </c>
      <c r="G5" s="4" t="inlineStr">
        <is>
          <t>Proceed to next level</t>
        </is>
      </c>
    </row>
    <row r="6" ht="28" customHeight="1">
      <c r="A6" s="4" t="inlineStr">
        <is>
          <t>Developing</t>
        </is>
      </c>
      <c r="B6" s="11" t="inlineStr">
        <is>
          <t>60-84</t>
        </is>
      </c>
      <c r="C6" s="4" t="inlineStr">
        <is>
          <t>Gold</t>
        </is>
      </c>
      <c r="D6" s="4" t="inlineStr">
        <is>
          <t>Meaning Signal (mild)</t>
        </is>
      </c>
      <c r="E6" s="4" t="inlineStr">
        <is>
          <t>Partial narrative understanding</t>
        </is>
      </c>
      <c r="F6" s="4" t="inlineStr">
        <is>
          <t>V0 — maintain level</t>
        </is>
      </c>
      <c r="G6" s="4" t="inlineStr">
        <is>
          <t>Review target scene</t>
        </is>
      </c>
    </row>
    <row r="7" ht="28" customHeight="1">
      <c r="A7" s="4" t="inlineStr">
        <is>
          <t>Emerging</t>
        </is>
      </c>
      <c r="B7" s="32" t="inlineStr">
        <is>
          <t>30-59</t>
        </is>
      </c>
      <c r="C7" s="4" t="inlineStr">
        <is>
          <t>Orange</t>
        </is>
      </c>
      <c r="D7" s="4" t="inlineStr">
        <is>
          <t>Meaning Signal (moderate)</t>
        </is>
      </c>
      <c r="E7" s="4" t="inlineStr">
        <is>
          <t>Surface/literal only</t>
        </is>
      </c>
      <c r="F7" s="4" t="inlineStr">
        <is>
          <t>V- — flag for booster</t>
        </is>
      </c>
      <c r="G7" s="4" t="inlineStr">
        <is>
          <t>Assign Booster Content</t>
        </is>
      </c>
    </row>
    <row r="8" ht="28" customHeight="1">
      <c r="A8" s="4" t="inlineStr">
        <is>
          <t>Beginning</t>
        </is>
      </c>
      <c r="B8" s="25" t="inlineStr">
        <is>
          <t>0-29</t>
        </is>
      </c>
      <c r="C8" s="4" t="inlineStr">
        <is>
          <t>Red</t>
        </is>
      </c>
      <c r="D8" s="4" t="inlineStr">
        <is>
          <t>Meaning Signal (strong)</t>
        </is>
      </c>
      <c r="E8" s="4" t="inlineStr">
        <is>
          <t>Fundamental gap; guessing</t>
        </is>
      </c>
      <c r="F8" s="4" t="inlineStr">
        <is>
          <t>V-- — priority intervention</t>
        </is>
      </c>
      <c r="G8" s="4" t="inlineStr">
        <is>
          <t>Comprehension Booster + re-read</t>
        </is>
      </c>
    </row>
    <row r="10" ht="22" customHeight="1">
      <c r="A10" s="3" t="inlineStr">
        <is>
          <t>SECTION B — Weighting Rationale by Story Grammar Element</t>
        </is>
      </c>
      <c r="B10" s="2" t="n"/>
      <c r="C10" s="2" t="n"/>
      <c r="D10" s="2" t="n"/>
      <c r="E10" s="2" t="n"/>
    </row>
    <row r="11">
      <c r="A11" s="22" t="inlineStr">
        <is>
          <t>SG Element</t>
        </is>
      </c>
      <c r="B11" s="22" t="inlineStr">
        <is>
          <t>Quiz Coverage</t>
        </is>
      </c>
      <c r="C11" s="22" t="inlineStr">
        <is>
          <t>Why Weighted</t>
        </is>
      </c>
      <c r="D11" s="22" t="inlineStr">
        <is>
          <t>LRS Engine</t>
        </is>
      </c>
      <c r="E11" s="22" t="inlineStr">
        <is>
          <t>Weakness Signal if Missed</t>
        </is>
      </c>
    </row>
    <row r="12" ht="26" customHeight="1">
      <c r="A12" s="11" t="inlineStr">
        <is>
          <t>Setting</t>
        </is>
      </c>
      <c r="B12" s="4" t="inlineStr">
        <is>
          <t>Q01 (SC01, pos 1)</t>
        </is>
      </c>
      <c r="C12" s="4" t="inlineStr">
        <is>
          <t>Entry anchor — gate to all other elements</t>
        </is>
      </c>
      <c r="D12" s="4" t="inlineStr">
        <is>
          <t>Vocab &amp; Comprehension Engine</t>
        </is>
      </c>
      <c r="E12" s="4" t="inlineStr">
        <is>
          <t>Literal comprehension dependency</t>
        </is>
      </c>
    </row>
    <row r="13" ht="26" customHeight="1">
      <c r="A13" s="11" t="inlineStr">
        <is>
          <t>Initiating Event / Goal</t>
        </is>
      </c>
      <c r="B13" s="4" t="inlineStr">
        <is>
          <t>Q01 (SC03), Q02, Q05</t>
        </is>
      </c>
      <c r="C13" s="4" t="inlineStr">
        <is>
          <t>Core problem; misidentifying = no narrative schema</t>
        </is>
      </c>
      <c r="D13" s="4" t="inlineStr">
        <is>
          <t>Vocab &amp; Comprehension Engine</t>
        </is>
      </c>
      <c r="E13" s="4" t="inlineStr">
        <is>
          <t>Inferencing weakness</t>
        </is>
      </c>
    </row>
    <row r="14" ht="26" customHeight="1">
      <c r="A14" s="11" t="inlineStr">
        <is>
          <t>Attempt</t>
        </is>
      </c>
      <c r="B14" s="4" t="inlineStr">
        <is>
          <t>Q01 (SC05), Q03, Q04(partial)</t>
        </is>
      </c>
      <c r="C14" s="4" t="inlineStr">
        <is>
          <t>Repetitive structure — confusion = sequential processing gap</t>
        </is>
      </c>
      <c r="D14" s="4" t="inlineStr">
        <is>
          <t>Vocab &amp; Comprehension Engine</t>
        </is>
      </c>
      <c r="E14" s="4" t="inlineStr">
        <is>
          <t>Semantic Decision Stability</t>
        </is>
      </c>
    </row>
    <row r="15" ht="26" customHeight="1">
      <c r="A15" s="11" t="inlineStr">
        <is>
          <t>Consequence / Reaction</t>
        </is>
      </c>
      <c r="B15" s="4" t="inlineStr">
        <is>
          <t>Q01 (SC06), Q06</t>
        </is>
      </c>
      <c r="C15" s="4" t="inlineStr">
        <is>
          <t>Emotional scene — confusion = emotion inference gap</t>
        </is>
      </c>
      <c r="D15" s="4" t="inlineStr">
        <is>
          <t>Expression Engine</t>
        </is>
      </c>
      <c r="E15" s="4" t="inlineStr">
        <is>
          <t>Emotion inference (Expression Signal)</t>
        </is>
      </c>
    </row>
    <row r="16" ht="26" customHeight="1">
      <c r="A16" s="11" t="inlineStr">
        <is>
          <t>Resolution</t>
        </is>
      </c>
      <c r="B16" s="4" t="inlineStr">
        <is>
          <t>Q01 (SC10, pos 5), Q04</t>
        </is>
      </c>
      <c r="C16" s="4" t="inlineStr">
        <is>
          <t>Exit anchor — without this, theme extraction fails</t>
        </is>
      </c>
      <c r="D16" s="4" t="inlineStr">
        <is>
          <t>Vocab &amp; Comprehension Engine</t>
        </is>
      </c>
      <c r="E16" s="4" t="inlineStr">
        <is>
          <t>Inferencing / Story Transfer weakness</t>
        </is>
      </c>
    </row>
    <row r="17" ht="26" customHeight="1">
      <c r="A17" s="11" t="inlineStr">
        <is>
          <t>Theme</t>
        </is>
      </c>
      <c r="B17" s="4" t="inlineStr">
        <is>
          <t>Q04</t>
        </is>
      </c>
      <c r="C17" s="4" t="inlineStr">
        <is>
          <t>Highest-order comprehension — abstraction beyond literal</t>
        </is>
      </c>
      <c r="D17" s="4" t="inlineStr">
        <is>
          <t>V&amp;C Engine + Expression Engine</t>
        </is>
      </c>
      <c r="E17" s="4" t="inlineStr">
        <is>
          <t>Limited reasoning (Expression Signal)</t>
        </is>
      </c>
    </row>
    <row r="18" ht="26" customHeight="1">
      <c r="A18" s="11" t="inlineStr">
        <is>
          <t>Internal Response (Emotion)</t>
        </is>
      </c>
      <c r="B18" s="4" t="inlineStr">
        <is>
          <t>Q06</t>
        </is>
      </c>
      <c r="C18" s="4" t="inlineStr">
        <is>
          <t>Moment-level emotion mapping</t>
        </is>
      </c>
      <c r="D18" s="4" t="inlineStr">
        <is>
          <t>Expression Engine</t>
        </is>
      </c>
      <c r="E18" s="4" t="inlineStr">
        <is>
          <t>Perspective taking weakness</t>
        </is>
      </c>
    </row>
    <row r="20" ht="22" customHeight="1">
      <c r="A20" s="3" t="inlineStr">
        <is>
          <t>SECTION C — MRI Profile Contribution (per Slide 23 LRS Policy)</t>
        </is>
      </c>
      <c r="B20" s="2" t="n"/>
      <c r="C20" s="2" t="n"/>
      <c r="D20" s="2" t="n"/>
      <c r="E20" s="2" t="n"/>
      <c r="F20" s="2" t="n"/>
      <c r="G20" s="2" t="n"/>
    </row>
    <row r="21" ht="28" customHeight="1">
      <c r="A21" s="31" t="inlineStr">
        <is>
          <t>Quiz scores feed into Vocabulary &amp; Comprehension Engine (V-score) and partially Expression Engine (L-score).</t>
        </is>
      </c>
      <c r="B21" s="2" t="n"/>
      <c r="C21" s="2" t="n"/>
      <c r="D21" s="2" t="n"/>
      <c r="E21" s="2" t="n"/>
      <c r="F21" s="2" t="n"/>
      <c r="G21" s="2" t="n"/>
    </row>
    <row r="22" ht="28" customHeight="1">
      <c r="A22" s="13" t="inlineStr">
        <is>
          <t>Parent Report (3-tier): Level (e.g. Lv4 — Vocabulary Retrieval) | Detail Profile: P3/V1/L2 | Risk Points: Inferencing weakness / Emotion identification gap</t>
        </is>
      </c>
      <c r="B22" s="2" t="n"/>
      <c r="C22" s="2" t="n"/>
      <c r="D22" s="2" t="n"/>
      <c r="E22" s="2" t="n"/>
      <c r="F22" s="2" t="n"/>
      <c r="G22" s="2" t="n"/>
    </row>
  </sheetData>
  <mergeCells count="6">
    <mergeCell ref="A1:G1"/>
    <mergeCell ref="A3:G3"/>
    <mergeCell ref="A21:G21"/>
    <mergeCell ref="A22:G22"/>
    <mergeCell ref="A20:G20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28" customWidth="1" min="4" max="4"/>
    <col width="16" customWidth="1" min="5" max="5"/>
    <col width="16" customWidth="1" min="6" max="6"/>
    <col width="28" customWidth="1" min="7" max="7"/>
    <col width="30" customWidth="1" min="8" max="8"/>
  </cols>
  <sheetData>
    <row r="1" ht="26" customHeight="1">
      <c r="A1" s="27" t="inlineStr">
        <is>
          <t>LRS xAPI Mapping — OG0021 Quiz Statements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Q_ID</t>
        </is>
      </c>
      <c r="B2" s="3" t="inlineStr">
        <is>
          <t>xAPI Verb</t>
        </is>
      </c>
      <c r="C2" s="3" t="inlineStr">
        <is>
          <t>xAPI Object</t>
        </is>
      </c>
      <c r="D2" s="3" t="inlineStr">
        <is>
          <t>result.sg_element</t>
        </is>
      </c>
      <c r="E2" s="3" t="inlineStr">
        <is>
          <t>result.score_raw</t>
        </is>
      </c>
      <c r="F2" s="3" t="inlineStr">
        <is>
          <t>result.correct</t>
        </is>
      </c>
      <c r="G2" s="3" t="inlineStr">
        <is>
          <t>Extra Fields</t>
        </is>
      </c>
      <c r="H2" s="3" t="inlineStr">
        <is>
          <t>Risk Signal</t>
        </is>
      </c>
    </row>
    <row r="3" ht="28" customHeight="1">
      <c r="A3" s="11" t="inlineStr">
        <is>
          <t>Q01</t>
        </is>
      </c>
      <c r="B3" s="4" t="inlineStr">
        <is>
          <t>answered</t>
        </is>
      </c>
      <c r="C3" s="4" t="inlineStr">
        <is>
          <t>quiz_OG0021_Q01_sequencing</t>
        </is>
      </c>
      <c r="D3" s="4" t="inlineStr">
        <is>
          <t>setting,initiating_event,attempt,consequence,resolution</t>
        </is>
      </c>
      <c r="E3" s="4" t="inlineStr">
        <is>
          <t>0-100</t>
        </is>
      </c>
      <c r="F3" s="4" t="inlineStr">
        <is>
          <t>partial</t>
        </is>
      </c>
      <c r="G3" s="4" t="inlineStr">
        <is>
          <t>sequence_submitted[], position_scores{}</t>
        </is>
      </c>
      <c r="H3" s="4" t="inlineStr">
        <is>
          <t>Meaning Signal if &lt;60</t>
        </is>
      </c>
    </row>
    <row r="4" ht="28" customHeight="1">
      <c r="A4" s="11" t="inlineStr">
        <is>
          <t>Q02</t>
        </is>
      </c>
      <c r="B4" s="4" t="inlineStr">
        <is>
          <t>answered</t>
        </is>
      </c>
      <c r="C4" s="4" t="inlineStr">
        <is>
          <t>quiz_OG0021_Q02_sent_match</t>
        </is>
      </c>
      <c r="D4" s="4" t="inlineStr">
        <is>
          <t>initiating_event</t>
        </is>
      </c>
      <c r="E4" s="4" t="inlineStr">
        <is>
          <t>0-100</t>
        </is>
      </c>
      <c r="F4" s="4" t="inlineStr">
        <is>
          <t>true/false</t>
        </is>
      </c>
      <c r="G4" s="4" t="inlineStr">
        <is>
          <t>option_selected, response_latency_ms</t>
        </is>
      </c>
      <c r="H4" s="4" t="inlineStr">
        <is>
          <t>Meaning Signal if option!=A</t>
        </is>
      </c>
    </row>
    <row r="5" ht="28" customHeight="1">
      <c r="A5" s="11" t="inlineStr">
        <is>
          <t>Q03</t>
        </is>
      </c>
      <c r="B5" s="4" t="inlineStr">
        <is>
          <t>answered</t>
        </is>
      </c>
      <c r="C5" s="4" t="inlineStr">
        <is>
          <t>quiz_OG0021_Q03_unscramble</t>
        </is>
      </c>
      <c r="D5" s="4" t="inlineStr">
        <is>
          <t>attempt</t>
        </is>
      </c>
      <c r="E5" s="4" t="inlineStr">
        <is>
          <t>0-100</t>
        </is>
      </c>
      <c r="F5" s="4" t="inlineStr">
        <is>
          <t>partial</t>
        </is>
      </c>
      <c r="G5" s="4" t="inlineStr">
        <is>
          <t>word_order_submitted[], words_correct/5</t>
        </is>
      </c>
      <c r="H5" s="4" t="inlineStr">
        <is>
          <t>Meaning Signal if &lt;60</t>
        </is>
      </c>
    </row>
    <row r="6" ht="28" customHeight="1">
      <c r="A6" s="11" t="inlineStr">
        <is>
          <t>Q04</t>
        </is>
      </c>
      <c r="B6" s="4" t="inlineStr">
        <is>
          <t>answered</t>
        </is>
      </c>
      <c r="C6" s="4" t="inlineStr">
        <is>
          <t>quiz_OG0021_Q04_main_idea</t>
        </is>
      </c>
      <c r="D6" s="4" t="inlineStr">
        <is>
          <t>theme</t>
        </is>
      </c>
      <c r="E6" s="4" t="inlineStr">
        <is>
          <t>0-100</t>
        </is>
      </c>
      <c r="F6" s="4" t="inlineStr">
        <is>
          <t>true/false</t>
        </is>
      </c>
      <c r="G6" s="4" t="inlineStr">
        <is>
          <t>option_selected, semantic_distance</t>
        </is>
      </c>
      <c r="H6" s="4" t="inlineStr">
        <is>
          <t>Expression Signal if &lt;30 (limited reasoning)</t>
        </is>
      </c>
    </row>
    <row r="7" ht="28" customHeight="1">
      <c r="A7" s="11" t="inlineStr">
        <is>
          <t>Q05</t>
        </is>
      </c>
      <c r="B7" s="4" t="inlineStr">
        <is>
          <t>answered</t>
        </is>
      </c>
      <c r="C7" s="4" t="inlineStr">
        <is>
          <t>quiz_OG0021_Q05_char_goal</t>
        </is>
      </c>
      <c r="D7" s="4" t="inlineStr">
        <is>
          <t>initiating_event</t>
        </is>
      </c>
      <c r="E7" s="4" t="inlineStr">
        <is>
          <t>0-100</t>
        </is>
      </c>
      <c r="F7" s="4" t="inlineStr">
        <is>
          <t>true/false</t>
        </is>
      </c>
      <c r="G7" s="4" t="inlineStr">
        <is>
          <t>option_selected, response_latency_ms</t>
        </is>
      </c>
      <c r="H7" s="4" t="inlineStr">
        <is>
          <t>Meaning Signal if option!=A</t>
        </is>
      </c>
    </row>
    <row r="8" ht="28" customHeight="1">
      <c r="A8" s="11" t="inlineStr">
        <is>
          <t>Q06</t>
        </is>
      </c>
      <c r="B8" s="4" t="inlineStr">
        <is>
          <t>answered</t>
        </is>
      </c>
      <c r="C8" s="4" t="inlineStr">
        <is>
          <t>quiz_OG0021_Q06_emotion</t>
        </is>
      </c>
      <c r="D8" s="4" t="inlineStr">
        <is>
          <t>reaction</t>
        </is>
      </c>
      <c r="E8" s="4" t="inlineStr">
        <is>
          <t>0-100</t>
        </is>
      </c>
      <c r="F8" s="4" t="inlineStr">
        <is>
          <t>true/false</t>
        </is>
      </c>
      <c r="G8" s="4" t="inlineStr">
        <is>
          <t>option_selected, semantic_distance</t>
        </is>
      </c>
      <c r="H8" s="4" t="inlineStr">
        <is>
          <t>Expression Signal if &lt;40 (emotion inference)</t>
        </is>
      </c>
    </row>
    <row r="10" ht="30" customHeight="1">
      <c r="A10" s="13" t="inlineStr">
        <is>
          <t>Single LRS storage (xAPI). V&amp;C Engine reads sg_element + score_raw for Q01-Q05. Expression Engine reads Q04/Q06 semantic_distance. MRI report: V-level (Q01-Q05) + L-level (Q04, Q06).</t>
        </is>
      </c>
      <c r="B10" s="2" t="n"/>
      <c r="C10" s="2" t="n"/>
      <c r="D10" s="2" t="n"/>
      <c r="E10" s="2" t="n"/>
      <c r="F10" s="2" t="n"/>
      <c r="G10" s="2" t="n"/>
      <c r="H10" s="2" t="n"/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2026-06-08T12:27:32Z</dcterms:created>
  <dcterms:modified xmlns:dcterms="http://purl.org/dc/terms/" xmlns:xsi="http://www.w3.org/2001/XMLSchema-instance" xsi:type="dcterms:W3CDTF">2026-06-08T12:27:32Z</dcterms:modified>
</cp:coreProperties>
</file>