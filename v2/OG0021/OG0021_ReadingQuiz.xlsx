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onni\Desktop\ISM\Content\Quiz\v2\OG0021\"/>
    </mc:Choice>
  </mc:AlternateContent>
  <xr:revisionPtr revIDLastSave="0" documentId="13_ncr:1_{7613C3F4-5000-4C4C-8A38-04BD57F97D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IZ_LIST" sheetId="1" r:id="rId1"/>
    <sheet name="Q01_CONSEQUENCE" sheetId="2" r:id="rId2"/>
    <sheet name="Q02_SETTING" sheetId="3" r:id="rId3"/>
    <sheet name="Q03_INIT_EVENT" sheetId="4" r:id="rId4"/>
    <sheet name="Q04_ATTEMPT" sheetId="5" r:id="rId5"/>
    <sheet name="Q05_REACTION" sheetId="6" r:id="rId6"/>
    <sheet name="Q06_INTERNAL" sheetId="7" r:id="rId7"/>
    <sheet name="Q07_SYNTHESIS" sheetId="8" r:id="rId8"/>
    <sheet name="SG_SCORING" sheetId="9" r:id="rId9"/>
    <sheet name="LRS_MAPPING" sheetId="10" r:id="rId10"/>
  </sheets>
  <calcPr calcId="191029"/>
</workbook>
</file>

<file path=xl/calcChain.xml><?xml version="1.0" encoding="utf-8"?>
<calcChain xmlns="http://schemas.openxmlformats.org/spreadsheetml/2006/main">
  <c r="F21" i="5" l="1"/>
  <c r="E21" i="5"/>
  <c r="D21" i="5"/>
  <c r="C21" i="5"/>
  <c r="B21" i="5"/>
  <c r="F20" i="5"/>
  <c r="E20" i="5"/>
  <c r="D20" i="5"/>
  <c r="C20" i="5"/>
  <c r="B20" i="5"/>
  <c r="F19" i="5"/>
  <c r="E19" i="5"/>
  <c r="D19" i="5"/>
  <c r="C19" i="5"/>
  <c r="B19" i="5"/>
  <c r="F18" i="5"/>
  <c r="E18" i="5"/>
  <c r="D18" i="5"/>
  <c r="C18" i="5"/>
  <c r="B18" i="5"/>
  <c r="F17" i="5"/>
  <c r="E17" i="5"/>
  <c r="D17" i="5"/>
  <c r="C17" i="5"/>
  <c r="B17" i="5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2" i="5"/>
  <c r="D12" i="5"/>
  <c r="F11" i="5"/>
  <c r="F10" i="5"/>
  <c r="F9" i="5"/>
  <c r="F8" i="5"/>
  <c r="F7" i="5"/>
  <c r="D10" i="2"/>
</calcChain>
</file>

<file path=xl/sharedStrings.xml><?xml version="1.0" encoding="utf-8"?>
<sst xmlns="http://schemas.openxmlformats.org/spreadsheetml/2006/main" count="565" uniqueCount="345">
  <si>
    <t>OG0021 Reading Quiz v2 - Story Grammar + Synthesis</t>
  </si>
  <si>
    <t>Q_ID</t>
  </si>
  <si>
    <t>Quiz Type</t>
  </si>
  <si>
    <t>Primary Story Grammar</t>
  </si>
  <si>
    <t>Question (EN)</t>
  </si>
  <si>
    <t>Resource</t>
  </si>
  <si>
    <t>Correct Answer</t>
  </si>
  <si>
    <t>Max Score</t>
  </si>
  <si>
    <t>LRS sg_element</t>
  </si>
  <si>
    <t>Scoring Mode</t>
  </si>
  <si>
    <t>Sheet Ref</t>
  </si>
  <si>
    <t>Q01</t>
  </si>
  <si>
    <t>Story Scene Sequence</t>
  </si>
  <si>
    <t>Consequence</t>
  </si>
  <si>
    <t>Put the story scenes in order.</t>
  </si>
  <si>
    <t>SC01/02/03/06/09 images</t>
  </si>
  <si>
    <t>SC01 -&gt; SC02 -&gt; SC03 -&gt; SC06 -&gt; SC09</t>
  </si>
  <si>
    <t>consequence</t>
  </si>
  <si>
    <t>Weighted Position</t>
  </si>
  <si>
    <t>Q01_CONSEQUENCE</t>
  </si>
  <si>
    <t>Q02</t>
  </si>
  <si>
    <t>Setting Slot Drag</t>
  </si>
  <si>
    <t>Setting</t>
  </si>
  <si>
    <t>Look at the first scene. Fill in the boxes.</t>
  </si>
  <si>
    <t>SC01 image + word cards</t>
  </si>
  <si>
    <t>who=chameleon / where=forest / at_first=loves changing colors</t>
  </si>
  <si>
    <t>setting</t>
  </si>
  <si>
    <t>Weighted Slot Match</t>
  </si>
  <si>
    <t>Q02_SETTING</t>
  </si>
  <si>
    <t>Q03</t>
  </si>
  <si>
    <t>Listening Scene Match</t>
  </si>
  <si>
    <t>Initiating Event</t>
  </si>
  <si>
    <t>Listen. Which scene starts the problem?</t>
  </si>
  <si>
    <t>Audio + SC02/03/06/09</t>
  </si>
  <si>
    <t>Option A</t>
  </si>
  <si>
    <t>initiating_event</t>
  </si>
  <si>
    <t>Weighted MCQ</t>
  </si>
  <si>
    <t>Q03_INIT_EVENT</t>
  </si>
  <si>
    <t>Q04</t>
  </si>
  <si>
    <t>Scene-Anchored Unscramble</t>
  </si>
  <si>
    <t>Attempt</t>
  </si>
  <si>
    <t>Put the story words in order.</t>
  </si>
  <si>
    <t>SC03 image</t>
  </si>
  <si>
    <t>Milo walks into the forest.</t>
  </si>
  <si>
    <t>attempt</t>
  </si>
  <si>
    <t>Weighted Unscramble</t>
  </si>
  <si>
    <t>Q04_ATTEMPT</t>
  </si>
  <si>
    <t>Q05</t>
  </si>
  <si>
    <t>Feeling Match</t>
  </si>
  <si>
    <t>Reaction</t>
  </si>
  <si>
    <t>How does Milo feel here?</t>
  </si>
  <si>
    <t>SC06 image</t>
  </si>
  <si>
    <t>Option B</t>
  </si>
  <si>
    <t>reaction</t>
  </si>
  <si>
    <t>Q05_REACTION</t>
  </si>
  <si>
    <t>Q06</t>
  </si>
  <si>
    <t>Internal Response MCQ</t>
  </si>
  <si>
    <t>Internal Response</t>
  </si>
  <si>
    <t>What is Milo thinking?</t>
  </si>
  <si>
    <t>internal_response</t>
  </si>
  <si>
    <t>Q06_INTERNAL</t>
  </si>
  <si>
    <t>Q07</t>
  </si>
  <si>
    <t>Synthesis MCQ</t>
  </si>
  <si>
    <t>Synthesis</t>
  </si>
  <si>
    <t>What did Milo find out at the end?</t>
  </si>
  <si>
    <t>-</t>
  </si>
  <si>
    <t>Option C</t>
  </si>
  <si>
    <t>synthesis</t>
  </si>
  <si>
    <t>Q07_SYNTHESIS</t>
  </si>
  <si>
    <t>v2 uses story-flow question order while keeping one primary Story Grammar score per Q01-Q06. Q07 Synthesis is reported separately and contributes to the overall score.</t>
  </si>
  <si>
    <t>Q01 - Story Scene Sequence | Story Grammar: Consequence</t>
  </si>
  <si>
    <t>Question: Put the story scenes in order.</t>
  </si>
  <si>
    <t>Scene</t>
  </si>
  <si>
    <t>Correct Pos</t>
  </si>
  <si>
    <t>Scene Weight</t>
  </si>
  <si>
    <t>SG Role</t>
  </si>
  <si>
    <t>Weight Rationale</t>
  </si>
  <si>
    <t>Error Tag</t>
  </si>
  <si>
    <t>LRS</t>
  </si>
  <si>
    <t>SC01</t>
  </si>
  <si>
    <t>OG0021_SC01_I</t>
  </si>
  <si>
    <t>Opening state</t>
  </si>
  <si>
    <t>Shows Milo before the problem begins; useful context but lower weight than problem/result.</t>
  </si>
  <si>
    <t>missed_opening_state</t>
  </si>
  <si>
    <t>SC02</t>
  </si>
  <si>
    <t>OG0021_SC02_I</t>
  </si>
  <si>
    <t>Problem begins</t>
  </si>
  <si>
    <t>Milo wakes up gray; this key event drives the rest of the story.</t>
  </si>
  <si>
    <t>missed_problem_start</t>
  </si>
  <si>
    <t>SC03</t>
  </si>
  <si>
    <t>OG0021_SC03_I</t>
  </si>
  <si>
    <t>Attempt begins</t>
  </si>
  <si>
    <t>Milo starts searching in the forest; a middle bridge scene.</t>
  </si>
  <si>
    <t>attempt_position_shift</t>
  </si>
  <si>
    <t>SC06</t>
  </si>
  <si>
    <t>OG0021_SC06_I</t>
  </si>
  <si>
    <t>Low point / reaction</t>
  </si>
  <si>
    <t>Milo cries by the pond; shows the consequence before recovery.</t>
  </si>
  <si>
    <t>reaction_position_shift</t>
  </si>
  <si>
    <t>SC09</t>
  </si>
  <si>
    <t>OG0021_SC09_I</t>
  </si>
  <si>
    <t>Final result</t>
  </si>
  <si>
    <t>Milo's colors come back; final consequence gets high weight.</t>
  </si>
  <si>
    <t>missed_final_result</t>
  </si>
  <si>
    <t>TOTAL</t>
  </si>
  <si>
    <t>Q02 - Setting Slot Drag | Story Grammar: Setting</t>
  </si>
  <si>
    <t>Question: Look at the first scene. Fill in the boxes.</t>
  </si>
  <si>
    <t>Scene resource: OG0021_SC01_I.png</t>
  </si>
  <si>
    <t>Card Key</t>
  </si>
  <si>
    <t>Text</t>
  </si>
  <si>
    <t>Slot</t>
  </si>
  <si>
    <t>Correct?</t>
  </si>
  <si>
    <t>Slot Weight</t>
  </si>
  <si>
    <t>Credit Rule</t>
  </si>
  <si>
    <t>Distractor Rationale</t>
  </si>
  <si>
    <t>pond</t>
  </si>
  <si>
    <t>Where?</t>
  </si>
  <si>
    <t>NO</t>
  </si>
  <si>
    <t>35% slot credit if placed in Where</t>
  </si>
  <si>
    <t>Uses a later important place as the opening place.</t>
  </si>
  <si>
    <t>chameleon</t>
  </si>
  <si>
    <t>Who?</t>
  </si>
  <si>
    <t>YES</t>
  </si>
  <si>
    <t>100% if placed in Who</t>
  </si>
  <si>
    <t>Correct main character at the beginning.</t>
  </si>
  <si>
    <t>loses_color</t>
  </si>
  <si>
    <t>loses his color</t>
  </si>
  <si>
    <t>At first...</t>
  </si>
  <si>
    <t>35% slot credit if placed in At first</t>
  </si>
  <si>
    <t>Uses the problem event as the opening state.</t>
  </si>
  <si>
    <t>forest</t>
  </si>
  <si>
    <t>100% if placed in Where</t>
  </si>
  <si>
    <t>Correct story place/background.</t>
  </si>
  <si>
    <t>loves_colors</t>
  </si>
  <si>
    <t>loves changing colors</t>
  </si>
  <si>
    <t>100% if placed in At first</t>
  </si>
  <si>
    <t>Correct verb phrase from the opening state.</t>
  </si>
  <si>
    <t>butterfly</t>
  </si>
  <si>
    <t>35% slot credit if placed in Who</t>
  </si>
  <si>
    <t>Confuses first encountered character with Milo.</t>
  </si>
  <si>
    <t>Scoring: full slot weight for exact target; 35% of slot weight for same-category distractor; 0 for wrong category.</t>
  </si>
  <si>
    <t>Q03 - Listening Scene Match | Story Grammar: Initiating Event</t>
  </si>
  <si>
    <t>Question: Listen. Which scene starts the problem?</t>
  </si>
  <si>
    <t>Resource: Audio/OG0021_SC02_ST01_N_A.mp3</t>
  </si>
  <si>
    <t>Option</t>
  </si>
  <si>
    <t>Option Text</t>
  </si>
  <si>
    <t>Is Correct?</t>
  </si>
  <si>
    <t>Score</t>
  </si>
  <si>
    <t>SG Element</t>
  </si>
  <si>
    <t>Distractor Type</t>
  </si>
  <si>
    <t>Student Weakness Signal</t>
  </si>
  <si>
    <t>A</t>
  </si>
  <si>
    <t>Correct</t>
  </si>
  <si>
    <t>Milo wakes up gray; the story problem begins.</t>
  </si>
  <si>
    <t>B</t>
  </si>
  <si>
    <t>Later action</t>
  </si>
  <si>
    <t>Student chooses the search after the problem, not the problem itself.</t>
  </si>
  <si>
    <t>Event/action sequence confusion</t>
  </si>
  <si>
    <t>C</t>
  </si>
  <si>
    <t>Result scene</t>
  </si>
  <si>
    <t>Student focuses on sadness after the problem.</t>
  </si>
  <si>
    <t>Initiating event vs reaction confusion</t>
  </si>
  <si>
    <t>D</t>
  </si>
  <si>
    <t>Resolution</t>
  </si>
  <si>
    <t>Opposite phase</t>
  </si>
  <si>
    <t>Student chooses a late recovery scene.</t>
  </si>
  <si>
    <t>Story direction weakness</t>
  </si>
  <si>
    <t>LRS xAPI: verb="answered" | object="quiz_OG0021_q03_init_event" | result.sg_element="initiating_event" | result.score_raw=&lt;pts&gt;</t>
  </si>
  <si>
    <t>Q04 - Scene-Anchored Unscramble | Story Grammar: Attempt</t>
  </si>
  <si>
    <t>Question: Put the story words in order.</t>
  </si>
  <si>
    <t>Correct sentence from SC03_ST01_N: "Milo walks into the forest."</t>
  </si>
  <si>
    <t>Scrambled words: walks | forest. | Milo | the | into</t>
  </si>
  <si>
    <t>Word</t>
  </si>
  <si>
    <t>Grammar Role</t>
  </si>
  <si>
    <t>Word Weight</t>
  </si>
  <si>
    <t>Max Points</t>
  </si>
  <si>
    <t>Milo</t>
  </si>
  <si>
    <t>Subject</t>
  </si>
  <si>
    <t>Identifies actor of attempt.</t>
  </si>
  <si>
    <t>actor_order</t>
  </si>
  <si>
    <t>walks</t>
  </si>
  <si>
    <t>Action verb</t>
  </si>
  <si>
    <t>Core attempt action; highest weight.</t>
  </si>
  <si>
    <t>attempt_action</t>
  </si>
  <si>
    <t>into</t>
  </si>
  <si>
    <t>Direction word</t>
  </si>
  <si>
    <t>Connects action to place.</t>
  </si>
  <si>
    <t>direction_word</t>
  </si>
  <si>
    <t>the</t>
  </si>
  <si>
    <t>Article</t>
  </si>
  <si>
    <t>Small syntax support.</t>
  </si>
  <si>
    <t>article</t>
  </si>
  <si>
    <t>forest.</t>
  </si>
  <si>
    <t>Place noun</t>
  </si>
  <si>
    <t>Shows where the attempt begins.</t>
  </si>
  <si>
    <t>attempt_place</t>
  </si>
  <si>
    <t>Student Answer</t>
  </si>
  <si>
    <t>Interpretation</t>
  </si>
  <si>
    <t>Weakness Signal</t>
  </si>
  <si>
    <t>Exact story sentence restored.</t>
  </si>
  <si>
    <t>Milo walks the into forest.</t>
  </si>
  <si>
    <t>Core attempt understood; small syntax issue.</t>
  </si>
  <si>
    <t>function word placement</t>
  </si>
  <si>
    <t>forest. into the walks Milo</t>
  </si>
  <si>
    <t>Place is known but action sequence is broken.</t>
  </si>
  <si>
    <t>attempt sequence weakness</t>
  </si>
  <si>
    <t>Q05 - Feeling Match | Story Grammar: Reaction</t>
  </si>
  <si>
    <t>Question: How does Milo feel here?</t>
  </si>
  <si>
    <t>Resource: OG0021_SC06_I.png</t>
  </si>
  <si>
    <t>Happy</t>
  </si>
  <si>
    <t>Opposite emotion</t>
  </si>
  <si>
    <t>Confuses resolution emotion with sadness.</t>
  </si>
  <si>
    <t>Temporal emotion confusion</t>
  </si>
  <si>
    <t>Sad</t>
  </si>
  <si>
    <t>SC06 shows crying and sadness.</t>
  </si>
  <si>
    <t>Angry</t>
  </si>
  <si>
    <t>Adjacent negative emotion</t>
  </si>
  <si>
    <t>Recognizes negative feeling but labels it too strongly.</t>
  </si>
  <si>
    <t>Emotion differentiation</t>
  </si>
  <si>
    <t>Surprised</t>
  </si>
  <si>
    <t>Early-event emotion</t>
  </si>
  <si>
    <t>Confuses surprise with later sadness.</t>
  </si>
  <si>
    <t>Scene emotion mapping</t>
  </si>
  <si>
    <t>LRS xAPI: verb="answered" | object="quiz_OG0021_q05_reaction" | result.sg_element="reaction" | result.score_raw=&lt;pts&gt;</t>
  </si>
  <si>
    <t>Q06 - Internal Response MCQ | Story Grammar: Internal Response</t>
  </si>
  <si>
    <t>Question: What is Milo thinking?</t>
  </si>
  <si>
    <t>Everyone has their own color.</t>
  </si>
  <si>
    <t>Uses the actual SC06 thought/sentence to infer Milo's inner state.</t>
  </si>
  <si>
    <t>I want to fly with the butterfly.</t>
  </si>
  <si>
    <t>Attempt detail</t>
  </si>
  <si>
    <t>Earlier action</t>
  </si>
  <si>
    <t>Confuses earlier butterfly scene with Milo's thought.</t>
  </si>
  <si>
    <t>Thought/action confusion</t>
  </si>
  <si>
    <t>The pond is very blue.</t>
  </si>
  <si>
    <t>Surface observation</t>
  </si>
  <si>
    <t>Visual detail</t>
  </si>
  <si>
    <t>Sees visual detail but not internal state.</t>
  </si>
  <si>
    <t>Surface-level inference</t>
  </si>
  <si>
    <t>I do not need my color.</t>
  </si>
  <si>
    <t>Opposite motive</t>
  </si>
  <si>
    <t>Contradiction</t>
  </si>
  <si>
    <t>Contradicts Milo's motivation to find his color.</t>
  </si>
  <si>
    <t>Motive inversion</t>
  </si>
  <si>
    <t>LRS xAPI: verb="answered" | object="quiz_OG0021_q06_internal" | result.sg_element="internal_response" | result.score_raw=&lt;pts&gt;</t>
  </si>
  <si>
    <t>Q07 - Synthesis MCQ | Main Idea / Whole Story Meaning</t>
  </si>
  <si>
    <t>Question: What did Milo find out at the end?</t>
  </si>
  <si>
    <t>Colors keep you safe.</t>
  </si>
  <si>
    <t>Fact distractor</t>
  </si>
  <si>
    <t>Treats an animal fact as the story meaning.</t>
  </si>
  <si>
    <t>Theme/detail confusion</t>
  </si>
  <si>
    <t>Friends always help you.</t>
  </si>
  <si>
    <t>Partial action theme</t>
  </si>
  <si>
    <t>Over-focuses on help/action rather than self-discovery.</t>
  </si>
  <si>
    <t>Partial theme</t>
  </si>
  <si>
    <t>Your color is inside you.</t>
  </si>
  <si>
    <t>Synthesizes the story's whole meaning.</t>
  </si>
  <si>
    <t>The world has many colors.</t>
  </si>
  <si>
    <t>Setting detail</t>
  </si>
  <si>
    <t>Chooses atmosphere/background over theme.</t>
  </si>
  <si>
    <t>Detail/theme confusion</t>
  </si>
  <si>
    <t>LRS xAPI: verb="answered" | object="quiz_OG0021_q07_synthesis" | result.sg_element="synthesis" | result.score_raw=&lt;pts&gt;</t>
  </si>
  <si>
    <t>Story Grammar Scoring Model - v2</t>
  </si>
  <si>
    <t>Axis</t>
  </si>
  <si>
    <t>Score Source</t>
  </si>
  <si>
    <t>Calculation</t>
  </si>
  <si>
    <t>Parent Report Use</t>
  </si>
  <si>
    <t>Weekly Rollup</t>
  </si>
  <si>
    <t>setting_score</t>
  </si>
  <si>
    <t>weighted slot match</t>
  </si>
  <si>
    <t>Builds who/where/at-first information from the first scene.</t>
  </si>
  <si>
    <t>Radar axis</t>
  </si>
  <si>
    <t>weighted average by story level</t>
  </si>
  <si>
    <t>initiating_event_score</t>
  </si>
  <si>
    <t>option score</t>
  </si>
  <si>
    <t>Understands what started the problem.</t>
  </si>
  <si>
    <t>attempt_score</t>
  </si>
  <si>
    <t>weighted word sequence</t>
  </si>
  <si>
    <t>Understands what the character does to solve the problem.</t>
  </si>
  <si>
    <t>reaction_score</t>
  </si>
  <si>
    <t>Understands visible feeling/response.</t>
  </si>
  <si>
    <t>internal_response_score</t>
  </si>
  <si>
    <t>Infers thoughts, motive, inner state.</t>
  </si>
  <si>
    <t>consequence_score</t>
  </si>
  <si>
    <t>weighted scene position</t>
  </si>
  <si>
    <t>Understands result and event development.</t>
  </si>
  <si>
    <t>synthesis_score</t>
  </si>
  <si>
    <t>Synthesizes whole-story meaning.</t>
  </si>
  <si>
    <t>Separate card; not in radar</t>
  </si>
  <si>
    <t>20% of overall reading score</t>
  </si>
  <si>
    <t>Overall Reading Score = average(6 Story Grammar axes) x 0.8 + Synthesis x 0.2</t>
  </si>
  <si>
    <t>LRS xAPI Mapping - OG0021 v2</t>
  </si>
  <si>
    <t>xAPI Verb</t>
  </si>
  <si>
    <t>xAPI Object</t>
  </si>
  <si>
    <t>result.sg_element</t>
  </si>
  <si>
    <t>score_raw</t>
  </si>
  <si>
    <t>correct</t>
  </si>
  <si>
    <t>Extra Fields</t>
  </si>
  <si>
    <t>Risk Signal</t>
  </si>
  <si>
    <t>answered</t>
  </si>
  <si>
    <t>quiz_OG0021_v2_Q01_consequence</t>
  </si>
  <si>
    <t>0-100</t>
  </si>
  <si>
    <t>partial</t>
  </si>
  <si>
    <t>scene_order, component_scores</t>
  </si>
  <si>
    <t>Consequence gap if &lt;70</t>
  </si>
  <si>
    <t>quiz_OG0021_v2_Q02_setting</t>
  </si>
  <si>
    <t>slot_values, component_scores</t>
  </si>
  <si>
    <t>Setting gap if &lt;70</t>
  </si>
  <si>
    <t>quiz_OG0021_v2_Q03_initiating_event</t>
  </si>
  <si>
    <t>true/false</t>
  </si>
  <si>
    <t>option_selected, audio_src</t>
  </si>
  <si>
    <t>Initiating event gap if &lt;70</t>
  </si>
  <si>
    <t>quiz_OG0021_v2_Q04_attempt</t>
  </si>
  <si>
    <t>word_order, word_scores</t>
  </si>
  <si>
    <t>Attempt/action gap if &lt;70</t>
  </si>
  <si>
    <t>quiz_OG0021_v2_Q05_reaction</t>
  </si>
  <si>
    <t>option_selected</t>
  </si>
  <si>
    <t>Reaction/emotion gap if &lt;70</t>
  </si>
  <si>
    <t>quiz_OG0021_v2_Q06_internal_response</t>
  </si>
  <si>
    <t>Inference gap if &lt;70</t>
  </si>
  <si>
    <t>quiz_OG0021_v2_Q07_synthesis</t>
  </si>
  <si>
    <t>Synthesis gap if &lt;70</t>
  </si>
  <si>
    <t>SECTION B - Score Matrix: Points per (Scene, Submitted Position)</t>
  </si>
  <si>
    <t>Scene \ Submitted Pos</t>
  </si>
  <si>
    <t>Pos 1</t>
  </si>
  <si>
    <t>Pos 2</t>
  </si>
  <si>
    <t>Pos 3</t>
  </si>
  <si>
    <t>Pos 4</t>
  </si>
  <si>
    <t>Pos 5</t>
  </si>
  <si>
    <t>SECTION C - Example Answer Scores</t>
  </si>
  <si>
    <t>Example Student Answer</t>
  </si>
  <si>
    <t>Submitted Order</t>
  </si>
  <si>
    <t>Perfect</t>
  </si>
  <si>
    <t>SC01-SC02-SC03-SC06-SC09</t>
  </si>
  <si>
    <t>Full story arc understood.</t>
  </si>
  <si>
    <t>Middle scenes swapped</t>
  </si>
  <si>
    <t>SC01-SC02-SC06-SC03-SC09</t>
  </si>
  <si>
    <t>Core anchors are intact; attempt/reaction order is unstable.</t>
  </si>
  <si>
    <t>Problem/result misplaced</t>
  </si>
  <si>
    <t>SC02-SC01-SC03-SC09-SC06</t>
  </si>
  <si>
    <t>Key consequence positions are confused.</t>
  </si>
  <si>
    <t>LRS xAPI: verb="answered" | object="quiz_OG0021_q01_consequence" | result.sg_element="consequence" | result.score_raw=&lt;pts&gt; | result.position_scores={}</t>
  </si>
  <si>
    <t>SECTION B - Word Position Score Matrix</t>
  </si>
  <si>
    <t>Word \ Submitted Pos</t>
  </si>
  <si>
    <t>SECTION C - Partial Score Examples</t>
  </si>
  <si>
    <t>LRS xAPI: verb="answered" | object="quiz_OG0021_q04_attempt" | result.sg_element="attempt" | result.word_order_submitted=[] | result.score_raw=&lt;n&gt; | result.word_scores={}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</si>
</sst>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0" x14ac:knownFonts="1">
    <font>
      <sz val="11"/>
      <color theme="1"/>
      <name val="맑은 고딕"/>
      <family val="2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9"/>
      <color rgb="FFFFFFFF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FFEECC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CCCC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E2EFDA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176" fontId="6" fillId="13" borderId="2" xfId="0" applyNumberFormat="1" applyFont="1" applyFill="1" applyBorder="1" applyAlignment="1">
      <alignment horizontal="center" vertical="center" wrapText="1"/>
    </xf>
    <xf numFmtId="176" fontId="6" fillId="13" borderId="1" xfId="0" applyNumberFormat="1" applyFont="1" applyFill="1" applyBorder="1" applyAlignment="1">
      <alignment horizontal="center" vertical="center" wrapText="1"/>
    </xf>
    <xf numFmtId="176" fontId="9" fillId="14" borderId="2" xfId="0" applyNumberFormat="1" applyFont="1" applyFill="1" applyBorder="1" applyAlignment="1">
      <alignment horizontal="center" vertical="center" wrapText="1"/>
    </xf>
    <xf numFmtId="176" fontId="9" fillId="14" borderId="3" xfId="0" applyNumberFormat="1" applyFont="1" applyFill="1" applyBorder="1" applyAlignment="1">
      <alignment horizontal="center" vertical="center" wrapText="1"/>
    </xf>
    <xf numFmtId="176" fontId="9" fillId="15" borderId="2" xfId="0" applyNumberFormat="1" applyFont="1" applyFill="1" applyBorder="1" applyAlignment="1">
      <alignment horizontal="center" vertical="center" wrapText="1"/>
    </xf>
    <xf numFmtId="176" fontId="9" fillId="15" borderId="3" xfId="0" applyNumberFormat="1" applyFont="1" applyFill="1" applyBorder="1" applyAlignment="1">
      <alignment horizontal="center" vertical="center" wrapText="1"/>
    </xf>
    <xf numFmtId="176" fontId="9" fillId="15" borderId="4" xfId="0" applyNumberFormat="1" applyFont="1" applyFill="1" applyBorder="1" applyAlignment="1">
      <alignment horizontal="center" vertical="center" wrapText="1"/>
    </xf>
    <xf numFmtId="176" fontId="9" fillId="14" borderId="4" xfId="0" applyNumberFormat="1" applyFont="1" applyFill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9" fillId="13" borderId="2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showGridLines="0" tabSelected="1" workbookViewId="0">
      <selection sqref="A1:J1"/>
    </sheetView>
  </sheetViews>
  <sheetFormatPr defaultRowHeight="17.399999999999999" x14ac:dyDescent="0.4"/>
  <cols>
    <col min="1" max="1" width="8" customWidth="1"/>
    <col min="2" max="3" width="22" customWidth="1"/>
    <col min="4" max="4" width="34" customWidth="1"/>
    <col min="5" max="5" width="26" customWidth="1"/>
    <col min="6" max="6" width="28" customWidth="1"/>
    <col min="7" max="7" width="12" customWidth="1"/>
    <col min="8" max="8" width="22" customWidth="1"/>
    <col min="9" max="9" width="24" customWidth="1"/>
    <col min="10" max="10" width="20" customWidth="1"/>
  </cols>
  <sheetData>
    <row r="1" spans="1:10" ht="28.05" customHeight="1" x14ac:dyDescent="0.4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ht="28.05" customHeight="1" x14ac:dyDescent="0.4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>
        <v>100</v>
      </c>
      <c r="H3" s="2" t="s">
        <v>17</v>
      </c>
      <c r="I3" s="2" t="s">
        <v>18</v>
      </c>
      <c r="J3" s="2" t="s">
        <v>19</v>
      </c>
    </row>
    <row r="4" spans="1:10" ht="28.05" customHeight="1" x14ac:dyDescent="0.4">
      <c r="A4" s="2" t="s">
        <v>20</v>
      </c>
      <c r="B4" s="2" t="s">
        <v>21</v>
      </c>
      <c r="C4" s="2" t="s">
        <v>22</v>
      </c>
      <c r="D4" s="2" t="s">
        <v>23</v>
      </c>
      <c r="E4" s="2" t="s">
        <v>24</v>
      </c>
      <c r="F4" s="2" t="s">
        <v>25</v>
      </c>
      <c r="G4" s="2">
        <v>100</v>
      </c>
      <c r="H4" s="2" t="s">
        <v>26</v>
      </c>
      <c r="I4" s="2" t="s">
        <v>27</v>
      </c>
      <c r="J4" s="2" t="s">
        <v>28</v>
      </c>
    </row>
    <row r="5" spans="1:10" ht="28.05" customHeight="1" x14ac:dyDescent="0.4">
      <c r="A5" s="2" t="s">
        <v>29</v>
      </c>
      <c r="B5" s="2" t="s">
        <v>30</v>
      </c>
      <c r="C5" s="2" t="s">
        <v>31</v>
      </c>
      <c r="D5" s="2" t="s">
        <v>32</v>
      </c>
      <c r="E5" s="2" t="s">
        <v>33</v>
      </c>
      <c r="F5" s="2" t="s">
        <v>34</v>
      </c>
      <c r="G5" s="2">
        <v>100</v>
      </c>
      <c r="H5" s="2" t="s">
        <v>35</v>
      </c>
      <c r="I5" s="2" t="s">
        <v>36</v>
      </c>
      <c r="J5" s="2" t="s">
        <v>37</v>
      </c>
    </row>
    <row r="6" spans="1:10" ht="28.05" customHeight="1" x14ac:dyDescent="0.4">
      <c r="A6" s="2" t="s">
        <v>38</v>
      </c>
      <c r="B6" s="2" t="s">
        <v>39</v>
      </c>
      <c r="C6" s="2" t="s">
        <v>40</v>
      </c>
      <c r="D6" s="2" t="s">
        <v>41</v>
      </c>
      <c r="E6" s="2" t="s">
        <v>42</v>
      </c>
      <c r="F6" s="2" t="s">
        <v>43</v>
      </c>
      <c r="G6" s="2">
        <v>100</v>
      </c>
      <c r="H6" s="2" t="s">
        <v>44</v>
      </c>
      <c r="I6" s="2" t="s">
        <v>45</v>
      </c>
      <c r="J6" s="2" t="s">
        <v>46</v>
      </c>
    </row>
    <row r="7" spans="1:10" ht="28.05" customHeight="1" x14ac:dyDescent="0.4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52</v>
      </c>
      <c r="G7" s="2">
        <v>100</v>
      </c>
      <c r="H7" s="2" t="s">
        <v>53</v>
      </c>
      <c r="I7" s="2" t="s">
        <v>36</v>
      </c>
      <c r="J7" s="2" t="s">
        <v>54</v>
      </c>
    </row>
    <row r="8" spans="1:10" ht="28.05" customHeight="1" x14ac:dyDescent="0.4">
      <c r="A8" s="2" t="s">
        <v>55</v>
      </c>
      <c r="B8" s="2" t="s">
        <v>56</v>
      </c>
      <c r="C8" s="2" t="s">
        <v>57</v>
      </c>
      <c r="D8" s="2" t="s">
        <v>58</v>
      </c>
      <c r="E8" s="2" t="s">
        <v>51</v>
      </c>
      <c r="F8" s="2" t="s">
        <v>34</v>
      </c>
      <c r="G8" s="2">
        <v>100</v>
      </c>
      <c r="H8" s="2" t="s">
        <v>59</v>
      </c>
      <c r="I8" s="2" t="s">
        <v>36</v>
      </c>
      <c r="J8" s="2" t="s">
        <v>60</v>
      </c>
    </row>
    <row r="9" spans="1:10" ht="28.05" customHeight="1" x14ac:dyDescent="0.4">
      <c r="A9" s="2" t="s">
        <v>61</v>
      </c>
      <c r="B9" s="2" t="s">
        <v>62</v>
      </c>
      <c r="C9" s="2" t="s">
        <v>63</v>
      </c>
      <c r="D9" s="2" t="s">
        <v>64</v>
      </c>
      <c r="E9" s="2" t="s">
        <v>65</v>
      </c>
      <c r="F9" s="2" t="s">
        <v>66</v>
      </c>
      <c r="G9" s="2">
        <v>100</v>
      </c>
      <c r="H9" s="2" t="s">
        <v>67</v>
      </c>
      <c r="I9" s="2" t="s">
        <v>36</v>
      </c>
      <c r="J9" s="2" t="s">
        <v>68</v>
      </c>
    </row>
    <row r="11" spans="1:10" x14ac:dyDescent="0.4">
      <c r="A11" s="29" t="s">
        <v>69</v>
      </c>
      <c r="B11" s="28"/>
      <c r="C11" s="28"/>
      <c r="D11" s="28"/>
      <c r="E11" s="28"/>
      <c r="F11" s="28"/>
      <c r="G11" s="28"/>
      <c r="H11" s="28"/>
      <c r="I11" s="28"/>
      <c r="J11" s="28"/>
    </row>
  </sheetData>
  <mergeCells count="2">
    <mergeCell ref="A1:J1"/>
    <mergeCell ref="A11:J11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showGridLines="0" workbookViewId="0"/>
  </sheetViews>
  <sheetFormatPr defaultRowHeight="17.399999999999999" x14ac:dyDescent="0.4"/>
  <cols>
    <col min="1" max="1" width="18.69921875" customWidth="1"/>
    <col min="2" max="2" width="20" customWidth="1"/>
    <col min="3" max="4" width="14" customWidth="1"/>
    <col min="5" max="5" width="24" customWidth="1"/>
    <col min="6" max="6" width="36" customWidth="1"/>
    <col min="7" max="8" width="24" customWidth="1"/>
  </cols>
  <sheetData>
    <row r="1" spans="1:8" ht="25.95" customHeight="1" x14ac:dyDescent="0.4">
      <c r="A1" s="27" t="s">
        <v>70</v>
      </c>
      <c r="B1" s="28"/>
      <c r="C1" s="28"/>
      <c r="D1" s="28"/>
      <c r="E1" s="28"/>
      <c r="F1" s="28"/>
      <c r="G1" s="28"/>
      <c r="H1" s="28"/>
    </row>
    <row r="2" spans="1:8" x14ac:dyDescent="0.4">
      <c r="A2" s="32" t="s">
        <v>71</v>
      </c>
      <c r="B2" s="28"/>
      <c r="C2" s="28"/>
      <c r="D2" s="28"/>
      <c r="E2" s="28"/>
      <c r="F2" s="28"/>
      <c r="G2" s="28"/>
      <c r="H2" s="28"/>
    </row>
    <row r="4" spans="1:8" x14ac:dyDescent="0.4">
      <c r="A4" s="1" t="s">
        <v>72</v>
      </c>
      <c r="B4" s="1" t="s">
        <v>5</v>
      </c>
      <c r="C4" s="1" t="s">
        <v>73</v>
      </c>
      <c r="D4" s="1" t="s">
        <v>74</v>
      </c>
      <c r="E4" s="1" t="s">
        <v>75</v>
      </c>
      <c r="F4" s="1" t="s">
        <v>76</v>
      </c>
      <c r="G4" s="1" t="s">
        <v>77</v>
      </c>
      <c r="H4" s="1" t="s">
        <v>78</v>
      </c>
    </row>
    <row r="5" spans="1:8" ht="30" customHeight="1" x14ac:dyDescent="0.4">
      <c r="A5" s="3" t="s">
        <v>79</v>
      </c>
      <c r="B5" s="3" t="s">
        <v>80</v>
      </c>
      <c r="C5" s="3">
        <v>1</v>
      </c>
      <c r="D5" s="3">
        <v>1.5</v>
      </c>
      <c r="E5" s="3" t="s">
        <v>81</v>
      </c>
      <c r="F5" s="2" t="s">
        <v>82</v>
      </c>
      <c r="G5" s="2" t="s">
        <v>83</v>
      </c>
      <c r="H5" s="2" t="s">
        <v>17</v>
      </c>
    </row>
    <row r="6" spans="1:8" ht="30" customHeight="1" x14ac:dyDescent="0.4">
      <c r="A6" s="4" t="s">
        <v>84</v>
      </c>
      <c r="B6" s="4" t="s">
        <v>85</v>
      </c>
      <c r="C6" s="4">
        <v>2</v>
      </c>
      <c r="D6" s="4">
        <v>2.5</v>
      </c>
      <c r="E6" s="4" t="s">
        <v>86</v>
      </c>
      <c r="F6" s="2" t="s">
        <v>87</v>
      </c>
      <c r="G6" s="2" t="s">
        <v>88</v>
      </c>
      <c r="H6" s="2" t="s">
        <v>35</v>
      </c>
    </row>
    <row r="7" spans="1:8" ht="30" customHeight="1" x14ac:dyDescent="0.4">
      <c r="A7" s="3" t="s">
        <v>89</v>
      </c>
      <c r="B7" s="3" t="s">
        <v>90</v>
      </c>
      <c r="C7" s="3">
        <v>3</v>
      </c>
      <c r="D7" s="3">
        <v>1.5</v>
      </c>
      <c r="E7" s="3" t="s">
        <v>91</v>
      </c>
      <c r="F7" s="2" t="s">
        <v>92</v>
      </c>
      <c r="G7" s="2" t="s">
        <v>93</v>
      </c>
      <c r="H7" s="2" t="s">
        <v>44</v>
      </c>
    </row>
    <row r="8" spans="1:8" ht="30" customHeight="1" x14ac:dyDescent="0.4">
      <c r="A8" s="3" t="s">
        <v>94</v>
      </c>
      <c r="B8" s="3" t="s">
        <v>95</v>
      </c>
      <c r="C8" s="3">
        <v>4</v>
      </c>
      <c r="D8" s="3">
        <v>1.5</v>
      </c>
      <c r="E8" s="3" t="s">
        <v>96</v>
      </c>
      <c r="F8" s="2" t="s">
        <v>97</v>
      </c>
      <c r="G8" s="2" t="s">
        <v>98</v>
      </c>
      <c r="H8" s="2" t="s">
        <v>53</v>
      </c>
    </row>
    <row r="9" spans="1:8" ht="30" customHeight="1" x14ac:dyDescent="0.4">
      <c r="A9" s="4" t="s">
        <v>99</v>
      </c>
      <c r="B9" s="4" t="s">
        <v>100</v>
      </c>
      <c r="C9" s="4">
        <v>5</v>
      </c>
      <c r="D9" s="4">
        <v>2.5</v>
      </c>
      <c r="E9" s="4" t="s">
        <v>101</v>
      </c>
      <c r="F9" s="2" t="s">
        <v>102</v>
      </c>
      <c r="G9" s="2" t="s">
        <v>103</v>
      </c>
      <c r="H9" s="2" t="s">
        <v>17</v>
      </c>
    </row>
    <row r="10" spans="1:8" x14ac:dyDescent="0.4">
      <c r="A10" s="5" t="s">
        <v>104</v>
      </c>
      <c r="D10" s="5">
        <f>SUM(D5:D9)</f>
        <v>9.5</v>
      </c>
    </row>
    <row r="12" spans="1:8" ht="17.399999999999999" customHeight="1" x14ac:dyDescent="0.4">
      <c r="A12" s="30" t="s">
        <v>321</v>
      </c>
      <c r="B12" s="31"/>
      <c r="C12" s="31"/>
      <c r="D12" s="31"/>
      <c r="E12" s="31"/>
      <c r="F12" s="31"/>
      <c r="G12" s="31"/>
      <c r="H12" s="31"/>
    </row>
    <row r="13" spans="1:8" x14ac:dyDescent="0.4">
      <c r="A13" s="13" t="s">
        <v>322</v>
      </c>
      <c r="B13" s="14" t="s">
        <v>323</v>
      </c>
      <c r="C13" s="14" t="s">
        <v>324</v>
      </c>
      <c r="D13" s="14" t="s">
        <v>325</v>
      </c>
      <c r="E13" s="14" t="s">
        <v>326</v>
      </c>
      <c r="F13" s="12" t="s">
        <v>327</v>
      </c>
    </row>
    <row r="14" spans="1:8" x14ac:dyDescent="0.4">
      <c r="A14" s="15" t="s">
        <v>79</v>
      </c>
      <c r="B14" s="17">
        <f>ROUND($D$5/SUM($D$5:$D$9)*100*MAX(0,1-ABS(1-$C$5)*0.5),1)</f>
        <v>15.8</v>
      </c>
      <c r="C14" s="19">
        <f>ROUND($D$5/SUM($D$5:$D$9)*100*MAX(0,1-ABS(2-$C$5)*0.5),1)</f>
        <v>7.9</v>
      </c>
      <c r="D14" s="21">
        <f>ROUND($D$5/SUM($D$5:$D$9)*100*MAX(0,1-ABS(3-$C$5)*0.5),1)</f>
        <v>0</v>
      </c>
      <c r="E14" s="21">
        <f>ROUND($D$5/SUM($D$5:$D$9)*100*MAX(0,1-ABS(4-$C$5)*0.5),1)</f>
        <v>0</v>
      </c>
      <c r="F14" s="23">
        <f>ROUND($D$5/SUM($D$5:$D$9)*100*MAX(0,1-ABS(5-$C$5)*0.5),1)</f>
        <v>0</v>
      </c>
    </row>
    <row r="15" spans="1:8" x14ac:dyDescent="0.4">
      <c r="A15" s="15" t="s">
        <v>84</v>
      </c>
      <c r="B15" s="19">
        <f>ROUND($D$6/SUM($D$5:$D$9)*100*MAX(0,1-ABS(1-$C$6)*0.5),1)</f>
        <v>13.2</v>
      </c>
      <c r="C15" s="17">
        <f>ROUND($D$6/SUM($D$5:$D$9)*100*MAX(0,1-ABS(2-$C$6)*0.5),1)</f>
        <v>26.3</v>
      </c>
      <c r="D15" s="19">
        <f>ROUND($D$6/SUM($D$5:$D$9)*100*MAX(0,1-ABS(3-$C$6)*0.5),1)</f>
        <v>13.2</v>
      </c>
      <c r="E15" s="21">
        <f>ROUND($D$6/SUM($D$5:$D$9)*100*MAX(0,1-ABS(4-$C$6)*0.5),1)</f>
        <v>0</v>
      </c>
      <c r="F15" s="23">
        <f>ROUND($D$6/SUM($D$5:$D$9)*100*MAX(0,1-ABS(5-$C$6)*0.5),1)</f>
        <v>0</v>
      </c>
    </row>
    <row r="16" spans="1:8" x14ac:dyDescent="0.4">
      <c r="A16" s="15" t="s">
        <v>89</v>
      </c>
      <c r="B16" s="21">
        <f>ROUND($D$7/SUM($D$5:$D$9)*100*MAX(0,1-ABS(1-$C$7)*0.5),1)</f>
        <v>0</v>
      </c>
      <c r="C16" s="19">
        <f>ROUND($D$7/SUM($D$5:$D$9)*100*MAX(0,1-ABS(2-$C$7)*0.5),1)</f>
        <v>7.9</v>
      </c>
      <c r="D16" s="17">
        <f>ROUND($D$7/SUM($D$5:$D$9)*100*MAX(0,1-ABS(3-$C$7)*0.5),1)</f>
        <v>15.8</v>
      </c>
      <c r="E16" s="19">
        <f>ROUND($D$7/SUM($D$5:$D$9)*100*MAX(0,1-ABS(4-$C$7)*0.5),1)</f>
        <v>7.9</v>
      </c>
      <c r="F16" s="23">
        <f>ROUND($D$7/SUM($D$5:$D$9)*100*MAX(0,1-ABS(5-$C$7)*0.5),1)</f>
        <v>0</v>
      </c>
    </row>
    <row r="17" spans="1:8" x14ac:dyDescent="0.4">
      <c r="A17" s="15" t="s">
        <v>94</v>
      </c>
      <c r="B17" s="21">
        <f>ROUND($D$8/SUM($D$5:$D$9)*100*MAX(0,1-ABS(1-$C$8)*0.5),1)</f>
        <v>0</v>
      </c>
      <c r="C17" s="21">
        <f>ROUND($D$8/SUM($D$5:$D$9)*100*MAX(0,1-ABS(2-$C$8)*0.5),1)</f>
        <v>0</v>
      </c>
      <c r="D17" s="19">
        <f>ROUND($D$8/SUM($D$5:$D$9)*100*MAX(0,1-ABS(3-$C$8)*0.5),1)</f>
        <v>7.9</v>
      </c>
      <c r="E17" s="17">
        <f>ROUND($D$8/SUM($D$5:$D$9)*100*MAX(0,1-ABS(4-$C$8)*0.5),1)</f>
        <v>15.8</v>
      </c>
      <c r="F17" s="24">
        <f>ROUND($D$8/SUM($D$5:$D$9)*100*MAX(0,1-ABS(5-$C$8)*0.5),1)</f>
        <v>7.9</v>
      </c>
    </row>
    <row r="18" spans="1:8" x14ac:dyDescent="0.4">
      <c r="A18" s="16" t="s">
        <v>99</v>
      </c>
      <c r="B18" s="22">
        <f>ROUND($D$9/SUM($D$5:$D$9)*100*MAX(0,1-ABS(1-$C$9)*0.5),1)</f>
        <v>0</v>
      </c>
      <c r="C18" s="22">
        <f>ROUND($D$9/SUM($D$5:$D$9)*100*MAX(0,1-ABS(2-$C$9)*0.5),1)</f>
        <v>0</v>
      </c>
      <c r="D18" s="22">
        <f>ROUND($D$9/SUM($D$5:$D$9)*100*MAX(0,1-ABS(3-$C$9)*0.5),1)</f>
        <v>0</v>
      </c>
      <c r="E18" s="20">
        <f>ROUND($D$9/SUM($D$5:$D$9)*100*MAX(0,1-ABS(4-$C$9)*0.5),1)</f>
        <v>13.2</v>
      </c>
      <c r="F18" s="18">
        <f>ROUND($D$9/SUM($D$5:$D$9)*100*MAX(0,1-ABS(5-$C$9)*0.5),1)</f>
        <v>26.3</v>
      </c>
    </row>
    <row r="21" spans="1:8" ht="17.399999999999999" customHeight="1" x14ac:dyDescent="0.4">
      <c r="A21" s="30" t="s">
        <v>328</v>
      </c>
      <c r="B21" s="31"/>
      <c r="C21" s="31"/>
      <c r="D21" s="31"/>
      <c r="E21" s="31"/>
      <c r="F21" s="31"/>
      <c r="G21" s="31"/>
      <c r="H21" s="31"/>
    </row>
    <row r="22" spans="1:8" x14ac:dyDescent="0.4">
      <c r="A22" s="15" t="s">
        <v>329</v>
      </c>
      <c r="B22" s="15" t="s">
        <v>330</v>
      </c>
      <c r="C22" s="15" t="s">
        <v>147</v>
      </c>
      <c r="D22" s="39" t="s">
        <v>197</v>
      </c>
    </row>
    <row r="23" spans="1:8" ht="26.4" x14ac:dyDescent="0.4">
      <c r="A23" s="37" t="s">
        <v>331</v>
      </c>
      <c r="B23" s="37" t="s">
        <v>332</v>
      </c>
      <c r="C23" s="38">
        <v>100</v>
      </c>
      <c r="D23" s="41" t="s">
        <v>333</v>
      </c>
    </row>
    <row r="24" spans="1:8" ht="52.8" x14ac:dyDescent="0.4">
      <c r="A24" s="37" t="s">
        <v>334</v>
      </c>
      <c r="B24" s="37" t="s">
        <v>335</v>
      </c>
      <c r="C24" s="40">
        <v>84</v>
      </c>
      <c r="D24" s="41" t="s">
        <v>336</v>
      </c>
    </row>
    <row r="25" spans="1:8" ht="39.6" x14ac:dyDescent="0.4">
      <c r="A25" s="25" t="s">
        <v>337</v>
      </c>
      <c r="B25" s="25" t="s">
        <v>338</v>
      </c>
      <c r="C25" s="42">
        <v>47</v>
      </c>
      <c r="D25" s="26" t="s">
        <v>339</v>
      </c>
    </row>
    <row r="28" spans="1:8" x14ac:dyDescent="0.4">
      <c r="A28" s="43" t="s">
        <v>340</v>
      </c>
      <c r="B28" s="36"/>
      <c r="C28" s="36"/>
      <c r="D28" s="36"/>
      <c r="E28" s="36"/>
      <c r="F28" s="36"/>
      <c r="G28" s="36"/>
      <c r="H28" s="36"/>
    </row>
  </sheetData>
  <mergeCells count="5">
    <mergeCell ref="A12:H12"/>
    <mergeCell ref="A2:H2"/>
    <mergeCell ref="A1:H1"/>
    <mergeCell ref="A21:H21"/>
    <mergeCell ref="A28:H28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showGridLines="0" workbookViewId="0"/>
  </sheetViews>
  <sheetFormatPr defaultRowHeight="17.399999999999999" x14ac:dyDescent="0.4"/>
  <cols>
    <col min="1" max="1" width="12" customWidth="1"/>
    <col min="2" max="3" width="18" customWidth="1"/>
    <col min="4" max="4" width="20" customWidth="1"/>
    <col min="5" max="5" width="16" customWidth="1"/>
    <col min="6" max="6" width="14" customWidth="1"/>
    <col min="7" max="7" width="20" customWidth="1"/>
    <col min="8" max="8" width="34" customWidth="1"/>
    <col min="9" max="9" width="28" customWidth="1"/>
  </cols>
  <sheetData>
    <row r="1" spans="1:9" x14ac:dyDescent="0.4">
      <c r="A1" s="27" t="s">
        <v>105</v>
      </c>
      <c r="B1" s="28"/>
      <c r="C1" s="28"/>
      <c r="D1" s="28"/>
      <c r="E1" s="28"/>
      <c r="F1" s="28"/>
      <c r="G1" s="28"/>
      <c r="H1" s="28"/>
      <c r="I1" s="28"/>
    </row>
    <row r="2" spans="1:9" x14ac:dyDescent="0.4">
      <c r="A2" s="32" t="s">
        <v>106</v>
      </c>
      <c r="B2" s="28"/>
      <c r="C2" s="28"/>
      <c r="D2" s="28"/>
      <c r="E2" s="28"/>
      <c r="F2" s="28"/>
      <c r="G2" s="28"/>
      <c r="H2" s="28"/>
      <c r="I2" s="28"/>
    </row>
    <row r="3" spans="1:9" x14ac:dyDescent="0.4">
      <c r="A3" s="33" t="s">
        <v>107</v>
      </c>
      <c r="B3" s="28"/>
      <c r="C3" s="28"/>
      <c r="D3" s="28"/>
      <c r="E3" s="28"/>
      <c r="F3" s="28"/>
      <c r="G3" s="28"/>
      <c r="H3" s="28"/>
      <c r="I3" s="28"/>
    </row>
    <row r="4" spans="1:9" x14ac:dyDescent="0.4">
      <c r="A4" s="1" t="s">
        <v>108</v>
      </c>
      <c r="B4" s="1" t="s">
        <v>109</v>
      </c>
      <c r="C4" s="1" t="s">
        <v>110</v>
      </c>
      <c r="D4" s="1" t="s">
        <v>5</v>
      </c>
      <c r="E4" s="1" t="s">
        <v>111</v>
      </c>
      <c r="F4" s="1" t="s">
        <v>112</v>
      </c>
      <c r="G4" s="1" t="s">
        <v>113</v>
      </c>
      <c r="H4" s="1" t="s">
        <v>114</v>
      </c>
      <c r="I4" s="1" t="s">
        <v>78</v>
      </c>
    </row>
    <row r="5" spans="1:9" ht="30" customHeight="1" x14ac:dyDescent="0.4">
      <c r="A5" s="6" t="s">
        <v>115</v>
      </c>
      <c r="B5" s="2" t="s">
        <v>115</v>
      </c>
      <c r="C5" s="2" t="s">
        <v>116</v>
      </c>
      <c r="D5" s="2" t="s">
        <v>95</v>
      </c>
      <c r="E5" s="6" t="s">
        <v>117</v>
      </c>
      <c r="F5" s="6">
        <v>2</v>
      </c>
      <c r="G5" s="2" t="s">
        <v>118</v>
      </c>
      <c r="H5" s="2" t="s">
        <v>119</v>
      </c>
      <c r="I5" s="2" t="s">
        <v>26</v>
      </c>
    </row>
    <row r="6" spans="1:9" ht="30" customHeight="1" x14ac:dyDescent="0.4">
      <c r="A6" s="7" t="s">
        <v>120</v>
      </c>
      <c r="B6" s="2" t="s">
        <v>120</v>
      </c>
      <c r="C6" s="2" t="s">
        <v>121</v>
      </c>
      <c r="D6" s="2" t="s">
        <v>80</v>
      </c>
      <c r="E6" s="7" t="s">
        <v>122</v>
      </c>
      <c r="F6" s="7">
        <v>2.5</v>
      </c>
      <c r="G6" s="2" t="s">
        <v>123</v>
      </c>
      <c r="H6" s="2" t="s">
        <v>124</v>
      </c>
      <c r="I6" s="2" t="s">
        <v>26</v>
      </c>
    </row>
    <row r="7" spans="1:9" ht="30" customHeight="1" x14ac:dyDescent="0.4">
      <c r="A7" s="6" t="s">
        <v>125</v>
      </c>
      <c r="B7" s="2" t="s">
        <v>126</v>
      </c>
      <c r="C7" s="2" t="s">
        <v>127</v>
      </c>
      <c r="D7" s="2" t="s">
        <v>85</v>
      </c>
      <c r="E7" s="6" t="s">
        <v>117</v>
      </c>
      <c r="F7" s="6">
        <v>1.5</v>
      </c>
      <c r="G7" s="2" t="s">
        <v>128</v>
      </c>
      <c r="H7" s="2" t="s">
        <v>129</v>
      </c>
      <c r="I7" s="2" t="s">
        <v>26</v>
      </c>
    </row>
    <row r="8" spans="1:9" ht="30" customHeight="1" x14ac:dyDescent="0.4">
      <c r="A8" s="7" t="s">
        <v>130</v>
      </c>
      <c r="B8" s="2" t="s">
        <v>130</v>
      </c>
      <c r="C8" s="2" t="s">
        <v>116</v>
      </c>
      <c r="D8" s="2" t="s">
        <v>90</v>
      </c>
      <c r="E8" s="7" t="s">
        <v>122</v>
      </c>
      <c r="F8" s="7">
        <v>2</v>
      </c>
      <c r="G8" s="2" t="s">
        <v>131</v>
      </c>
      <c r="H8" s="2" t="s">
        <v>132</v>
      </c>
      <c r="I8" s="2" t="s">
        <v>26</v>
      </c>
    </row>
    <row r="9" spans="1:9" ht="30" customHeight="1" x14ac:dyDescent="0.4">
      <c r="A9" s="7" t="s">
        <v>133</v>
      </c>
      <c r="B9" s="2" t="s">
        <v>134</v>
      </c>
      <c r="C9" s="2" t="s">
        <v>127</v>
      </c>
      <c r="D9" s="2" t="s">
        <v>80</v>
      </c>
      <c r="E9" s="7" t="s">
        <v>122</v>
      </c>
      <c r="F9" s="7">
        <v>1.5</v>
      </c>
      <c r="G9" s="2" t="s">
        <v>135</v>
      </c>
      <c r="H9" s="2" t="s">
        <v>136</v>
      </c>
      <c r="I9" s="2" t="s">
        <v>26</v>
      </c>
    </row>
    <row r="10" spans="1:9" ht="30" customHeight="1" x14ac:dyDescent="0.4">
      <c r="A10" s="6" t="s">
        <v>137</v>
      </c>
      <c r="B10" s="2" t="s">
        <v>137</v>
      </c>
      <c r="C10" s="2" t="s">
        <v>121</v>
      </c>
      <c r="D10" s="2" t="s">
        <v>90</v>
      </c>
      <c r="E10" s="6" t="s">
        <v>117</v>
      </c>
      <c r="F10" s="6">
        <v>2.5</v>
      </c>
      <c r="G10" s="2" t="s">
        <v>138</v>
      </c>
      <c r="H10" s="2" t="s">
        <v>139</v>
      </c>
      <c r="I10" s="2" t="s">
        <v>26</v>
      </c>
    </row>
    <row r="13" spans="1:9" x14ac:dyDescent="0.4">
      <c r="A13" s="34" t="s">
        <v>140</v>
      </c>
      <c r="B13" s="28"/>
      <c r="C13" s="28"/>
      <c r="D13" s="28"/>
      <c r="E13" s="28"/>
      <c r="F13" s="28"/>
      <c r="G13" s="28"/>
      <c r="H13" s="28"/>
      <c r="I13" s="28"/>
    </row>
  </sheetData>
  <mergeCells count="4">
    <mergeCell ref="A1:I1"/>
    <mergeCell ref="A3:I3"/>
    <mergeCell ref="A13:I13"/>
    <mergeCell ref="A2:I2"/>
  </mergeCells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showGridLines="0" workbookViewId="0"/>
  </sheetViews>
  <sheetFormatPr defaultRowHeight="17.399999999999999" x14ac:dyDescent="0.4"/>
  <cols>
    <col min="1" max="1" width="8" customWidth="1"/>
    <col min="2" max="2" width="36" customWidth="1"/>
    <col min="3" max="3" width="12" customWidth="1"/>
    <col min="4" max="5" width="20" customWidth="1"/>
    <col min="6" max="6" width="24" customWidth="1"/>
    <col min="7" max="8" width="28" customWidth="1"/>
    <col min="9" max="9" width="22" customWidth="1"/>
  </cols>
  <sheetData>
    <row r="1" spans="1:9" ht="25.95" customHeight="1" x14ac:dyDescent="0.4">
      <c r="A1" s="27" t="s">
        <v>141</v>
      </c>
      <c r="B1" s="28"/>
      <c r="C1" s="28"/>
      <c r="D1" s="28"/>
      <c r="E1" s="28"/>
      <c r="F1" s="28"/>
      <c r="G1" s="28"/>
      <c r="H1" s="28"/>
      <c r="I1" s="28"/>
    </row>
    <row r="2" spans="1:9" x14ac:dyDescent="0.4">
      <c r="A2" s="32" t="s">
        <v>142</v>
      </c>
      <c r="B2" s="28"/>
      <c r="C2" s="28"/>
      <c r="D2" s="28"/>
      <c r="E2" s="28"/>
      <c r="F2" s="28"/>
      <c r="G2" s="28"/>
      <c r="H2" s="28"/>
      <c r="I2" s="28"/>
    </row>
    <row r="3" spans="1:9" x14ac:dyDescent="0.4">
      <c r="A3" s="33" t="s">
        <v>143</v>
      </c>
      <c r="B3" s="28"/>
      <c r="C3" s="28"/>
      <c r="D3" s="28"/>
      <c r="E3" s="28"/>
      <c r="F3" s="28"/>
      <c r="G3" s="28"/>
      <c r="H3" s="28"/>
      <c r="I3" s="28"/>
    </row>
    <row r="5" spans="1:9" x14ac:dyDescent="0.4">
      <c r="A5" s="1" t="s">
        <v>144</v>
      </c>
      <c r="B5" s="1" t="s">
        <v>145</v>
      </c>
      <c r="C5" s="1" t="s">
        <v>146</v>
      </c>
      <c r="D5" s="1" t="s">
        <v>147</v>
      </c>
      <c r="E5" s="1" t="s">
        <v>148</v>
      </c>
      <c r="F5" s="1" t="s">
        <v>149</v>
      </c>
      <c r="G5" s="1" t="s">
        <v>114</v>
      </c>
      <c r="H5" s="1" t="s">
        <v>150</v>
      </c>
      <c r="I5" s="1" t="s">
        <v>8</v>
      </c>
    </row>
    <row r="6" spans="1:9" ht="36" customHeight="1" x14ac:dyDescent="0.4">
      <c r="A6" s="7" t="s">
        <v>151</v>
      </c>
      <c r="B6" s="2" t="s">
        <v>85</v>
      </c>
      <c r="C6" s="7" t="s">
        <v>122</v>
      </c>
      <c r="D6" s="7">
        <v>100</v>
      </c>
      <c r="E6" s="2" t="s">
        <v>31</v>
      </c>
      <c r="F6" s="2" t="s">
        <v>152</v>
      </c>
      <c r="G6" s="2" t="s">
        <v>153</v>
      </c>
      <c r="H6" s="2" t="s">
        <v>65</v>
      </c>
      <c r="I6" s="2" t="s">
        <v>35</v>
      </c>
    </row>
    <row r="7" spans="1:9" ht="36" customHeight="1" x14ac:dyDescent="0.4">
      <c r="A7" s="6" t="s">
        <v>154</v>
      </c>
      <c r="B7" s="2" t="s">
        <v>90</v>
      </c>
      <c r="C7" s="6" t="s">
        <v>117</v>
      </c>
      <c r="D7" s="6">
        <v>20</v>
      </c>
      <c r="E7" s="2" t="s">
        <v>40</v>
      </c>
      <c r="F7" s="2" t="s">
        <v>155</v>
      </c>
      <c r="G7" s="2" t="s">
        <v>156</v>
      </c>
      <c r="H7" s="2" t="s">
        <v>157</v>
      </c>
      <c r="I7" s="2" t="s">
        <v>44</v>
      </c>
    </row>
    <row r="8" spans="1:9" ht="36" customHeight="1" x14ac:dyDescent="0.4">
      <c r="A8" s="8" t="s">
        <v>158</v>
      </c>
      <c r="B8" s="2" t="s">
        <v>95</v>
      </c>
      <c r="C8" s="8" t="s">
        <v>117</v>
      </c>
      <c r="D8" s="8">
        <v>30</v>
      </c>
      <c r="E8" s="2" t="s">
        <v>49</v>
      </c>
      <c r="F8" s="2" t="s">
        <v>159</v>
      </c>
      <c r="G8" s="2" t="s">
        <v>160</v>
      </c>
      <c r="H8" s="2" t="s">
        <v>161</v>
      </c>
      <c r="I8" s="2" t="s">
        <v>53</v>
      </c>
    </row>
    <row r="9" spans="1:9" ht="36" customHeight="1" x14ac:dyDescent="0.4">
      <c r="A9" s="9" t="s">
        <v>162</v>
      </c>
      <c r="B9" s="2" t="s">
        <v>100</v>
      </c>
      <c r="C9" s="9" t="s">
        <v>117</v>
      </c>
      <c r="D9" s="9">
        <v>0</v>
      </c>
      <c r="E9" s="2" t="s">
        <v>163</v>
      </c>
      <c r="F9" s="2" t="s">
        <v>164</v>
      </c>
      <c r="G9" s="2" t="s">
        <v>165</v>
      </c>
      <c r="H9" s="2" t="s">
        <v>166</v>
      </c>
      <c r="I9" s="2" t="s">
        <v>17</v>
      </c>
    </row>
    <row r="11" spans="1:9" x14ac:dyDescent="0.4">
      <c r="A11" s="34" t="s">
        <v>167</v>
      </c>
      <c r="B11" s="28"/>
      <c r="C11" s="28"/>
      <c r="D11" s="28"/>
      <c r="E11" s="28"/>
      <c r="F11" s="28"/>
      <c r="G11" s="28"/>
      <c r="H11" s="28"/>
      <c r="I11" s="28"/>
    </row>
  </sheetData>
  <mergeCells count="4">
    <mergeCell ref="A1:I1"/>
    <mergeCell ref="A3:I3"/>
    <mergeCell ref="A2:I2"/>
    <mergeCell ref="A11:I11"/>
  </mergeCells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1"/>
  <sheetViews>
    <sheetView showGridLines="0" workbookViewId="0"/>
  </sheetViews>
  <sheetFormatPr defaultRowHeight="17.399999999999999" x14ac:dyDescent="0.4"/>
  <cols>
    <col min="1" max="1" width="6" customWidth="1"/>
    <col min="2" max="3" width="18" customWidth="1"/>
    <col min="4" max="5" width="14" customWidth="1"/>
    <col min="6" max="6" width="16" customWidth="1"/>
    <col min="7" max="7" width="18" customWidth="1"/>
    <col min="8" max="9" width="24" customWidth="1"/>
  </cols>
  <sheetData>
    <row r="1" spans="1:9" x14ac:dyDescent="0.4">
      <c r="A1" s="27" t="s">
        <v>168</v>
      </c>
      <c r="B1" s="28"/>
      <c r="C1" s="28"/>
      <c r="D1" s="28"/>
      <c r="E1" s="28"/>
      <c r="F1" s="28"/>
      <c r="G1" s="28"/>
      <c r="H1" s="28"/>
      <c r="I1" s="28"/>
    </row>
    <row r="2" spans="1:9" x14ac:dyDescent="0.4">
      <c r="A2" s="32" t="s">
        <v>169</v>
      </c>
      <c r="B2" s="28"/>
      <c r="C2" s="28"/>
      <c r="D2" s="28"/>
      <c r="E2" s="28"/>
      <c r="F2" s="28"/>
      <c r="G2" s="28"/>
      <c r="H2" s="28"/>
      <c r="I2" s="28"/>
    </row>
    <row r="3" spans="1:9" x14ac:dyDescent="0.4">
      <c r="A3" s="35" t="s">
        <v>170</v>
      </c>
      <c r="B3" s="28"/>
      <c r="C3" s="28"/>
      <c r="D3" s="28"/>
      <c r="E3" s="28"/>
      <c r="F3" s="28"/>
      <c r="G3" s="28"/>
      <c r="H3" s="28"/>
      <c r="I3" s="28"/>
    </row>
    <row r="4" spans="1:9" x14ac:dyDescent="0.4">
      <c r="A4" s="33" t="s">
        <v>171</v>
      </c>
      <c r="B4" s="28"/>
      <c r="C4" s="28"/>
      <c r="D4" s="28"/>
      <c r="E4" s="28"/>
      <c r="F4" s="28"/>
      <c r="G4" s="28"/>
      <c r="H4" s="28"/>
      <c r="I4" s="28"/>
    </row>
    <row r="6" spans="1:9" ht="31.2" x14ac:dyDescent="0.4">
      <c r="A6" s="1" t="s">
        <v>172</v>
      </c>
      <c r="B6" s="1" t="s">
        <v>73</v>
      </c>
      <c r="C6" s="1" t="s">
        <v>173</v>
      </c>
      <c r="D6" s="1" t="s">
        <v>174</v>
      </c>
      <c r="E6" s="1" t="s">
        <v>76</v>
      </c>
      <c r="F6" s="1" t="s">
        <v>175</v>
      </c>
      <c r="G6" s="1" t="s">
        <v>77</v>
      </c>
    </row>
    <row r="7" spans="1:9" ht="30" customHeight="1" x14ac:dyDescent="0.4">
      <c r="A7" s="4" t="s">
        <v>176</v>
      </c>
      <c r="B7" s="10">
        <v>1</v>
      </c>
      <c r="C7" s="4" t="s">
        <v>177</v>
      </c>
      <c r="D7" s="10">
        <v>1.5</v>
      </c>
      <c r="E7" s="2" t="s">
        <v>178</v>
      </c>
      <c r="F7" s="11">
        <f>D7/SUM($D$7:$D$11)*100</f>
        <v>16.666666666666664</v>
      </c>
      <c r="G7" s="2" t="s">
        <v>179</v>
      </c>
    </row>
    <row r="8" spans="1:9" ht="30" customHeight="1" x14ac:dyDescent="0.4">
      <c r="A8" s="4" t="s">
        <v>180</v>
      </c>
      <c r="B8" s="10">
        <v>2</v>
      </c>
      <c r="C8" s="4" t="s">
        <v>181</v>
      </c>
      <c r="D8" s="10">
        <v>2.5</v>
      </c>
      <c r="E8" s="2" t="s">
        <v>182</v>
      </c>
      <c r="F8" s="11">
        <f>D8/SUM($D$7:$D$11)*100</f>
        <v>27.777777777777779</v>
      </c>
      <c r="G8" s="2" t="s">
        <v>183</v>
      </c>
    </row>
    <row r="9" spans="1:9" ht="30" customHeight="1" x14ac:dyDescent="0.4">
      <c r="A9" s="4" t="s">
        <v>184</v>
      </c>
      <c r="B9" s="10">
        <v>3</v>
      </c>
      <c r="C9" s="4" t="s">
        <v>185</v>
      </c>
      <c r="D9" s="10">
        <v>1.5</v>
      </c>
      <c r="E9" s="2" t="s">
        <v>186</v>
      </c>
      <c r="F9" s="11">
        <f>D9/SUM($D$7:$D$11)*100</f>
        <v>16.666666666666664</v>
      </c>
      <c r="G9" s="2" t="s">
        <v>187</v>
      </c>
    </row>
    <row r="10" spans="1:9" ht="30" customHeight="1" x14ac:dyDescent="0.4">
      <c r="A10" s="4" t="s">
        <v>188</v>
      </c>
      <c r="B10" s="10">
        <v>4</v>
      </c>
      <c r="C10" s="4" t="s">
        <v>189</v>
      </c>
      <c r="D10" s="10">
        <v>1</v>
      </c>
      <c r="E10" s="2" t="s">
        <v>190</v>
      </c>
      <c r="F10" s="11">
        <f>D10/SUM($D$7:$D$11)*100</f>
        <v>11.111111111111111</v>
      </c>
      <c r="G10" s="2" t="s">
        <v>191</v>
      </c>
    </row>
    <row r="11" spans="1:9" ht="30" customHeight="1" x14ac:dyDescent="0.4">
      <c r="A11" s="4" t="s">
        <v>192</v>
      </c>
      <c r="B11" s="10">
        <v>5</v>
      </c>
      <c r="C11" s="4" t="s">
        <v>193</v>
      </c>
      <c r="D11" s="10">
        <v>2.5</v>
      </c>
      <c r="E11" s="2" t="s">
        <v>194</v>
      </c>
      <c r="F11" s="11">
        <f>D11/SUM($D$7:$D$11)*100</f>
        <v>27.777777777777779</v>
      </c>
      <c r="G11" s="2" t="s">
        <v>195</v>
      </c>
    </row>
    <row r="12" spans="1:9" x14ac:dyDescent="0.4">
      <c r="A12" s="5" t="s">
        <v>104</v>
      </c>
      <c r="D12" s="5">
        <f>SUM(D7:D11)</f>
        <v>9</v>
      </c>
      <c r="F12" s="5">
        <f>SUM(F7:F11)</f>
        <v>100</v>
      </c>
    </row>
    <row r="15" spans="1:9" ht="17.399999999999999" customHeight="1" x14ac:dyDescent="0.4">
      <c r="A15" s="30" t="s">
        <v>341</v>
      </c>
      <c r="B15" s="31"/>
      <c r="C15" s="31"/>
      <c r="D15" s="31"/>
      <c r="E15" s="31"/>
      <c r="F15" s="31"/>
      <c r="G15" s="31"/>
      <c r="H15" s="31"/>
      <c r="I15" s="31"/>
    </row>
    <row r="16" spans="1:9" ht="52.8" x14ac:dyDescent="0.4">
      <c r="A16" s="15" t="s">
        <v>342</v>
      </c>
      <c r="B16" s="14" t="s">
        <v>323</v>
      </c>
      <c r="C16" s="14" t="s">
        <v>324</v>
      </c>
      <c r="D16" s="14" t="s">
        <v>325</v>
      </c>
      <c r="E16" s="14" t="s">
        <v>326</v>
      </c>
      <c r="F16" s="12" t="s">
        <v>327</v>
      </c>
    </row>
    <row r="17" spans="1:9" x14ac:dyDescent="0.4">
      <c r="A17" s="15" t="s">
        <v>176</v>
      </c>
      <c r="B17" s="17">
        <f>IF(1=$B$7,ROUND($D$7/SUM($D$7:$D$11)*100,1),0)</f>
        <v>16.7</v>
      </c>
      <c r="C17" s="21">
        <f>IF(2=$B$7,ROUND($D$7/SUM($D$7:$D$11)*100,1),0)</f>
        <v>0</v>
      </c>
      <c r="D17" s="21">
        <f>IF(3=$B$7,ROUND($D$7/SUM($D$7:$D$11)*100,1),0)</f>
        <v>0</v>
      </c>
      <c r="E17" s="21">
        <f>IF(4=$B$7,ROUND($D$7/SUM($D$7:$D$11)*100,1),0)</f>
        <v>0</v>
      </c>
      <c r="F17" s="23">
        <f>IF(5=$B$7,ROUND($D$7/SUM($D$7:$D$11)*100,1),0)</f>
        <v>0</v>
      </c>
    </row>
    <row r="18" spans="1:9" x14ac:dyDescent="0.4">
      <c r="A18" s="15" t="s">
        <v>180</v>
      </c>
      <c r="B18" s="21">
        <f>IF(1=$B$8,ROUND($D$8/SUM($D$7:$D$11)*100,1),0)</f>
        <v>0</v>
      </c>
      <c r="C18" s="17">
        <f>IF(2=$B$8,ROUND($D$8/SUM($D$7:$D$11)*100,1),0)</f>
        <v>27.8</v>
      </c>
      <c r="D18" s="21">
        <f>IF(3=$B$8,ROUND($D$8/SUM($D$7:$D$11)*100,1),0)</f>
        <v>0</v>
      </c>
      <c r="E18" s="21">
        <f>IF(4=$B$8,ROUND($D$8/SUM($D$7:$D$11)*100,1),0)</f>
        <v>0</v>
      </c>
      <c r="F18" s="23">
        <f>IF(5=$B$8,ROUND($D$8/SUM($D$7:$D$11)*100,1),0)</f>
        <v>0</v>
      </c>
    </row>
    <row r="19" spans="1:9" x14ac:dyDescent="0.4">
      <c r="A19" s="15" t="s">
        <v>184</v>
      </c>
      <c r="B19" s="21">
        <f>IF(1=$B$9,ROUND($D$9/SUM($D$7:$D$11)*100,1),0)</f>
        <v>0</v>
      </c>
      <c r="C19" s="21">
        <f>IF(2=$B$9,ROUND($D$9/SUM($D$7:$D$11)*100,1),0)</f>
        <v>0</v>
      </c>
      <c r="D19" s="17">
        <f>IF(3=$B$9,ROUND($D$9/SUM($D$7:$D$11)*100,1),0)</f>
        <v>16.7</v>
      </c>
      <c r="E19" s="21">
        <f>IF(4=$B$9,ROUND($D$9/SUM($D$7:$D$11)*100,1),0)</f>
        <v>0</v>
      </c>
      <c r="F19" s="23">
        <f>IF(5=$B$9,ROUND($D$9/SUM($D$7:$D$11)*100,1),0)</f>
        <v>0</v>
      </c>
    </row>
    <row r="20" spans="1:9" x14ac:dyDescent="0.4">
      <c r="A20" s="15" t="s">
        <v>188</v>
      </c>
      <c r="B20" s="21">
        <f>IF(1=$B$10,ROUND($D$10/SUM($D$7:$D$11)*100,1),0)</f>
        <v>0</v>
      </c>
      <c r="C20" s="21">
        <f>IF(2=$B$10,ROUND($D$10/SUM($D$7:$D$11)*100,1),0)</f>
        <v>0</v>
      </c>
      <c r="D20" s="21">
        <f>IF(3=$B$10,ROUND($D$10/SUM($D$7:$D$11)*100,1),0)</f>
        <v>0</v>
      </c>
      <c r="E20" s="17">
        <f>IF(4=$B$10,ROUND($D$10/SUM($D$7:$D$11)*100,1),0)</f>
        <v>11.1</v>
      </c>
      <c r="F20" s="23">
        <f>IF(5=$B$10,ROUND($D$10/SUM($D$7:$D$11)*100,1),0)</f>
        <v>0</v>
      </c>
    </row>
    <row r="21" spans="1:9" x14ac:dyDescent="0.4">
      <c r="A21" s="16" t="s">
        <v>192</v>
      </c>
      <c r="B21" s="22">
        <f>IF(1=$B$11,ROUND($D$11/SUM($D$7:$D$11)*100,1),0)</f>
        <v>0</v>
      </c>
      <c r="C21" s="22">
        <f>IF(2=$B$11,ROUND($D$11/SUM($D$7:$D$11)*100,1),0)</f>
        <v>0</v>
      </c>
      <c r="D21" s="22">
        <f>IF(3=$B$11,ROUND($D$11/SUM($D$7:$D$11)*100,1),0)</f>
        <v>0</v>
      </c>
      <c r="E21" s="22">
        <f>IF(4=$B$11,ROUND($D$11/SUM($D$7:$D$11)*100,1),0)</f>
        <v>0</v>
      </c>
      <c r="F21" s="18">
        <f>IF(5=$B$11,ROUND($D$11/SUM($D$7:$D$11)*100,1),0)</f>
        <v>27.8</v>
      </c>
    </row>
    <row r="24" spans="1:9" x14ac:dyDescent="0.4">
      <c r="A24" s="30" t="s">
        <v>343</v>
      </c>
      <c r="B24" s="31"/>
      <c r="C24" s="31"/>
      <c r="D24" s="31"/>
      <c r="E24" s="31"/>
      <c r="F24" s="31"/>
      <c r="G24" s="31"/>
      <c r="H24" s="31"/>
      <c r="I24" s="31"/>
    </row>
    <row r="25" spans="1:9" ht="39.6" x14ac:dyDescent="0.4">
      <c r="A25" s="15" t="s">
        <v>196</v>
      </c>
      <c r="B25" s="15" t="s">
        <v>147</v>
      </c>
      <c r="C25" s="15" t="s">
        <v>197</v>
      </c>
      <c r="D25" s="39" t="s">
        <v>198</v>
      </c>
    </row>
    <row r="26" spans="1:9" ht="52.8" x14ac:dyDescent="0.4">
      <c r="A26" s="37" t="s">
        <v>43</v>
      </c>
      <c r="B26" s="38">
        <v>100</v>
      </c>
      <c r="C26" s="37" t="s">
        <v>199</v>
      </c>
      <c r="D26" s="41" t="s">
        <v>65</v>
      </c>
    </row>
    <row r="27" spans="1:9" ht="52.8" x14ac:dyDescent="0.4">
      <c r="A27" s="37" t="s">
        <v>200</v>
      </c>
      <c r="B27" s="40">
        <v>83</v>
      </c>
      <c r="C27" s="37" t="s">
        <v>201</v>
      </c>
      <c r="D27" s="41" t="s">
        <v>202</v>
      </c>
    </row>
    <row r="28" spans="1:9" ht="52.8" x14ac:dyDescent="0.4">
      <c r="A28" s="25" t="s">
        <v>203</v>
      </c>
      <c r="B28" s="42">
        <v>17</v>
      </c>
      <c r="C28" s="25" t="s">
        <v>204</v>
      </c>
      <c r="D28" s="26" t="s">
        <v>205</v>
      </c>
    </row>
    <row r="31" spans="1:9" x14ac:dyDescent="0.4">
      <c r="A31" s="43" t="s">
        <v>344</v>
      </c>
      <c r="B31" s="36"/>
      <c r="C31" s="36"/>
      <c r="D31" s="36"/>
      <c r="E31" s="36"/>
      <c r="F31" s="36"/>
      <c r="G31" s="36"/>
      <c r="H31" s="36"/>
      <c r="I31" s="36"/>
    </row>
  </sheetData>
  <mergeCells count="7">
    <mergeCell ref="A24:I24"/>
    <mergeCell ref="A31:I31"/>
    <mergeCell ref="A15:I15"/>
    <mergeCell ref="A2:I2"/>
    <mergeCell ref="A1:I1"/>
    <mergeCell ref="A3:I3"/>
    <mergeCell ref="A4:I4"/>
  </mergeCells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"/>
  <sheetViews>
    <sheetView showGridLines="0" workbookViewId="0"/>
  </sheetViews>
  <sheetFormatPr defaultRowHeight="17.399999999999999" x14ac:dyDescent="0.4"/>
  <cols>
    <col min="1" max="1" width="8" customWidth="1"/>
    <col min="2" max="2" width="36" customWidth="1"/>
    <col min="3" max="3" width="12" customWidth="1"/>
    <col min="4" max="5" width="20" customWidth="1"/>
    <col min="6" max="6" width="24" customWidth="1"/>
    <col min="7" max="8" width="28" customWidth="1"/>
    <col min="9" max="9" width="22" customWidth="1"/>
  </cols>
  <sheetData>
    <row r="1" spans="1:9" ht="25.95" customHeight="1" x14ac:dyDescent="0.4">
      <c r="A1" s="27" t="s">
        <v>206</v>
      </c>
      <c r="B1" s="28"/>
      <c r="C1" s="28"/>
      <c r="D1" s="28"/>
      <c r="E1" s="28"/>
      <c r="F1" s="28"/>
      <c r="G1" s="28"/>
      <c r="H1" s="28"/>
      <c r="I1" s="28"/>
    </row>
    <row r="2" spans="1:9" x14ac:dyDescent="0.4">
      <c r="A2" s="32" t="s">
        <v>207</v>
      </c>
      <c r="B2" s="28"/>
      <c r="C2" s="28"/>
      <c r="D2" s="28"/>
      <c r="E2" s="28"/>
      <c r="F2" s="28"/>
      <c r="G2" s="28"/>
      <c r="H2" s="28"/>
      <c r="I2" s="28"/>
    </row>
    <row r="3" spans="1:9" x14ac:dyDescent="0.4">
      <c r="A3" s="33" t="s">
        <v>208</v>
      </c>
      <c r="B3" s="28"/>
      <c r="C3" s="28"/>
      <c r="D3" s="28"/>
      <c r="E3" s="28"/>
      <c r="F3" s="28"/>
      <c r="G3" s="28"/>
      <c r="H3" s="28"/>
      <c r="I3" s="28"/>
    </row>
    <row r="5" spans="1:9" x14ac:dyDescent="0.4">
      <c r="A5" s="1" t="s">
        <v>144</v>
      </c>
      <c r="B5" s="1" t="s">
        <v>145</v>
      </c>
      <c r="C5" s="1" t="s">
        <v>146</v>
      </c>
      <c r="D5" s="1" t="s">
        <v>147</v>
      </c>
      <c r="E5" s="1" t="s">
        <v>148</v>
      </c>
      <c r="F5" s="1" t="s">
        <v>149</v>
      </c>
      <c r="G5" s="1" t="s">
        <v>114</v>
      </c>
      <c r="H5" s="1" t="s">
        <v>150</v>
      </c>
      <c r="I5" s="1" t="s">
        <v>8</v>
      </c>
    </row>
    <row r="6" spans="1:9" ht="36" customHeight="1" x14ac:dyDescent="0.4">
      <c r="A6" s="9" t="s">
        <v>151</v>
      </c>
      <c r="B6" s="2" t="s">
        <v>209</v>
      </c>
      <c r="C6" s="9" t="s">
        <v>117</v>
      </c>
      <c r="D6" s="9">
        <v>0</v>
      </c>
      <c r="E6" s="2" t="s">
        <v>49</v>
      </c>
      <c r="F6" s="2" t="s">
        <v>210</v>
      </c>
      <c r="G6" s="2" t="s">
        <v>211</v>
      </c>
      <c r="H6" s="2" t="s">
        <v>212</v>
      </c>
      <c r="I6" s="2" t="s">
        <v>53</v>
      </c>
    </row>
    <row r="7" spans="1:9" ht="36" customHeight="1" x14ac:dyDescent="0.4">
      <c r="A7" s="7" t="s">
        <v>154</v>
      </c>
      <c r="B7" s="2" t="s">
        <v>213</v>
      </c>
      <c r="C7" s="7" t="s">
        <v>122</v>
      </c>
      <c r="D7" s="7">
        <v>100</v>
      </c>
      <c r="E7" s="2" t="s">
        <v>49</v>
      </c>
      <c r="F7" s="2" t="s">
        <v>152</v>
      </c>
      <c r="G7" s="2" t="s">
        <v>214</v>
      </c>
      <c r="H7" s="2" t="s">
        <v>65</v>
      </c>
      <c r="I7" s="2" t="s">
        <v>53</v>
      </c>
    </row>
    <row r="8" spans="1:9" ht="36" customHeight="1" x14ac:dyDescent="0.4">
      <c r="A8" s="8" t="s">
        <v>158</v>
      </c>
      <c r="B8" s="2" t="s">
        <v>215</v>
      </c>
      <c r="C8" s="8" t="s">
        <v>117</v>
      </c>
      <c r="D8" s="8">
        <v>40</v>
      </c>
      <c r="E8" s="2" t="s">
        <v>49</v>
      </c>
      <c r="F8" s="2" t="s">
        <v>216</v>
      </c>
      <c r="G8" s="2" t="s">
        <v>217</v>
      </c>
      <c r="H8" s="2" t="s">
        <v>218</v>
      </c>
      <c r="I8" s="2" t="s">
        <v>53</v>
      </c>
    </row>
    <row r="9" spans="1:9" ht="36" customHeight="1" x14ac:dyDescent="0.4">
      <c r="A9" s="6" t="s">
        <v>162</v>
      </c>
      <c r="B9" s="2" t="s">
        <v>219</v>
      </c>
      <c r="C9" s="6" t="s">
        <v>117</v>
      </c>
      <c r="D9" s="6">
        <v>20</v>
      </c>
      <c r="E9" s="2" t="s">
        <v>49</v>
      </c>
      <c r="F9" s="2" t="s">
        <v>220</v>
      </c>
      <c r="G9" s="2" t="s">
        <v>221</v>
      </c>
      <c r="H9" s="2" t="s">
        <v>222</v>
      </c>
      <c r="I9" s="2" t="s">
        <v>53</v>
      </c>
    </row>
    <row r="11" spans="1:9" x14ac:dyDescent="0.4">
      <c r="A11" s="34" t="s">
        <v>223</v>
      </c>
      <c r="B11" s="28"/>
      <c r="C11" s="28"/>
      <c r="D11" s="28"/>
      <c r="E11" s="28"/>
      <c r="F11" s="28"/>
      <c r="G11" s="28"/>
      <c r="H11" s="28"/>
      <c r="I11" s="28"/>
    </row>
  </sheetData>
  <mergeCells count="4">
    <mergeCell ref="A1:I1"/>
    <mergeCell ref="A3:I3"/>
    <mergeCell ref="A2:I2"/>
    <mergeCell ref="A11:I11"/>
  </mergeCells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showGridLines="0" workbookViewId="0"/>
  </sheetViews>
  <sheetFormatPr defaultRowHeight="17.399999999999999" x14ac:dyDescent="0.4"/>
  <cols>
    <col min="1" max="1" width="8" customWidth="1"/>
    <col min="2" max="2" width="36" customWidth="1"/>
    <col min="3" max="3" width="12" customWidth="1"/>
    <col min="4" max="5" width="20" customWidth="1"/>
    <col min="6" max="6" width="24" customWidth="1"/>
    <col min="7" max="8" width="28" customWidth="1"/>
    <col min="9" max="9" width="22" customWidth="1"/>
  </cols>
  <sheetData>
    <row r="1" spans="1:9" ht="25.95" customHeight="1" x14ac:dyDescent="0.4">
      <c r="A1" s="27" t="s">
        <v>224</v>
      </c>
      <c r="B1" s="28"/>
      <c r="C1" s="28"/>
      <c r="D1" s="28"/>
      <c r="E1" s="28"/>
      <c r="F1" s="28"/>
      <c r="G1" s="28"/>
      <c r="H1" s="28"/>
      <c r="I1" s="28"/>
    </row>
    <row r="2" spans="1:9" x14ac:dyDescent="0.4">
      <c r="A2" s="32" t="s">
        <v>225</v>
      </c>
      <c r="B2" s="28"/>
      <c r="C2" s="28"/>
      <c r="D2" s="28"/>
      <c r="E2" s="28"/>
      <c r="F2" s="28"/>
      <c r="G2" s="28"/>
      <c r="H2" s="28"/>
      <c r="I2" s="28"/>
    </row>
    <row r="3" spans="1:9" x14ac:dyDescent="0.4">
      <c r="A3" s="33" t="s">
        <v>208</v>
      </c>
      <c r="B3" s="28"/>
      <c r="C3" s="28"/>
      <c r="D3" s="28"/>
      <c r="E3" s="28"/>
      <c r="F3" s="28"/>
      <c r="G3" s="28"/>
      <c r="H3" s="28"/>
      <c r="I3" s="28"/>
    </row>
    <row r="5" spans="1:9" x14ac:dyDescent="0.4">
      <c r="A5" s="1" t="s">
        <v>144</v>
      </c>
      <c r="B5" s="1" t="s">
        <v>145</v>
      </c>
      <c r="C5" s="1" t="s">
        <v>146</v>
      </c>
      <c r="D5" s="1" t="s">
        <v>147</v>
      </c>
      <c r="E5" s="1" t="s">
        <v>148</v>
      </c>
      <c r="F5" s="1" t="s">
        <v>149</v>
      </c>
      <c r="G5" s="1" t="s">
        <v>114</v>
      </c>
      <c r="H5" s="1" t="s">
        <v>150</v>
      </c>
      <c r="I5" s="1" t="s">
        <v>8</v>
      </c>
    </row>
    <row r="6" spans="1:9" ht="36" customHeight="1" x14ac:dyDescent="0.4">
      <c r="A6" s="7" t="s">
        <v>151</v>
      </c>
      <c r="B6" s="2" t="s">
        <v>226</v>
      </c>
      <c r="C6" s="7" t="s">
        <v>122</v>
      </c>
      <c r="D6" s="7">
        <v>100</v>
      </c>
      <c r="E6" s="2" t="s">
        <v>57</v>
      </c>
      <c r="F6" s="2" t="s">
        <v>152</v>
      </c>
      <c r="G6" s="2" t="s">
        <v>227</v>
      </c>
      <c r="H6" s="2" t="s">
        <v>65</v>
      </c>
      <c r="I6" s="2" t="s">
        <v>59</v>
      </c>
    </row>
    <row r="7" spans="1:9" ht="36" customHeight="1" x14ac:dyDescent="0.4">
      <c r="A7" s="6" t="s">
        <v>154</v>
      </c>
      <c r="B7" s="2" t="s">
        <v>228</v>
      </c>
      <c r="C7" s="6" t="s">
        <v>117</v>
      </c>
      <c r="D7" s="6">
        <v>20</v>
      </c>
      <c r="E7" s="2" t="s">
        <v>229</v>
      </c>
      <c r="F7" s="2" t="s">
        <v>230</v>
      </c>
      <c r="G7" s="2" t="s">
        <v>231</v>
      </c>
      <c r="H7" s="2" t="s">
        <v>232</v>
      </c>
      <c r="I7" s="2" t="s">
        <v>44</v>
      </c>
    </row>
    <row r="8" spans="1:9" ht="36" customHeight="1" x14ac:dyDescent="0.4">
      <c r="A8" s="8" t="s">
        <v>158</v>
      </c>
      <c r="B8" s="2" t="s">
        <v>233</v>
      </c>
      <c r="C8" s="8" t="s">
        <v>117</v>
      </c>
      <c r="D8" s="8">
        <v>45</v>
      </c>
      <c r="E8" s="2" t="s">
        <v>234</v>
      </c>
      <c r="F8" s="2" t="s">
        <v>235</v>
      </c>
      <c r="G8" s="2" t="s">
        <v>236</v>
      </c>
      <c r="H8" s="2" t="s">
        <v>237</v>
      </c>
      <c r="I8" s="2" t="s">
        <v>59</v>
      </c>
    </row>
    <row r="9" spans="1:9" ht="36" customHeight="1" x14ac:dyDescent="0.4">
      <c r="A9" s="9" t="s">
        <v>162</v>
      </c>
      <c r="B9" s="2" t="s">
        <v>238</v>
      </c>
      <c r="C9" s="9" t="s">
        <v>117</v>
      </c>
      <c r="D9" s="9">
        <v>0</v>
      </c>
      <c r="E9" s="2" t="s">
        <v>239</v>
      </c>
      <c r="F9" s="2" t="s">
        <v>240</v>
      </c>
      <c r="G9" s="2" t="s">
        <v>241</v>
      </c>
      <c r="H9" s="2" t="s">
        <v>242</v>
      </c>
      <c r="I9" s="2" t="s">
        <v>59</v>
      </c>
    </row>
    <row r="11" spans="1:9" x14ac:dyDescent="0.4">
      <c r="A11" s="34" t="s">
        <v>243</v>
      </c>
      <c r="B11" s="28"/>
      <c r="C11" s="28"/>
      <c r="D11" s="28"/>
      <c r="E11" s="28"/>
      <c r="F11" s="28"/>
      <c r="G11" s="28"/>
      <c r="H11" s="28"/>
      <c r="I11" s="28"/>
    </row>
  </sheetData>
  <mergeCells count="4">
    <mergeCell ref="A1:I1"/>
    <mergeCell ref="A3:I3"/>
    <mergeCell ref="A2:I2"/>
    <mergeCell ref="A11:I11"/>
  </mergeCells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"/>
  <sheetViews>
    <sheetView showGridLines="0" workbookViewId="0"/>
  </sheetViews>
  <sheetFormatPr defaultRowHeight="17.399999999999999" x14ac:dyDescent="0.4"/>
  <cols>
    <col min="1" max="1" width="8" customWidth="1"/>
    <col min="2" max="2" width="36" customWidth="1"/>
    <col min="3" max="3" width="12" customWidth="1"/>
    <col min="4" max="5" width="20" customWidth="1"/>
    <col min="6" max="6" width="24" customWidth="1"/>
    <col min="7" max="8" width="28" customWidth="1"/>
    <col min="9" max="9" width="22" customWidth="1"/>
  </cols>
  <sheetData>
    <row r="1" spans="1:9" ht="25.95" customHeight="1" x14ac:dyDescent="0.4">
      <c r="A1" s="27" t="s">
        <v>244</v>
      </c>
      <c r="B1" s="28"/>
      <c r="C1" s="28"/>
      <c r="D1" s="28"/>
      <c r="E1" s="28"/>
      <c r="F1" s="28"/>
      <c r="G1" s="28"/>
      <c r="H1" s="28"/>
      <c r="I1" s="28"/>
    </row>
    <row r="2" spans="1:9" x14ac:dyDescent="0.4">
      <c r="A2" s="32" t="s">
        <v>245</v>
      </c>
      <c r="B2" s="28"/>
      <c r="C2" s="28"/>
      <c r="D2" s="28"/>
      <c r="E2" s="28"/>
      <c r="F2" s="28"/>
      <c r="G2" s="28"/>
      <c r="H2" s="28"/>
      <c r="I2" s="28"/>
    </row>
    <row r="4" spans="1:9" x14ac:dyDescent="0.4">
      <c r="A4" s="1" t="s">
        <v>144</v>
      </c>
      <c r="B4" s="1" t="s">
        <v>145</v>
      </c>
      <c r="C4" s="1" t="s">
        <v>146</v>
      </c>
      <c r="D4" s="1" t="s">
        <v>147</v>
      </c>
      <c r="E4" s="1" t="s">
        <v>148</v>
      </c>
      <c r="F4" s="1" t="s">
        <v>149</v>
      </c>
      <c r="G4" s="1" t="s">
        <v>114</v>
      </c>
      <c r="H4" s="1" t="s">
        <v>150</v>
      </c>
      <c r="I4" s="1" t="s">
        <v>8</v>
      </c>
    </row>
    <row r="5" spans="1:9" ht="36" customHeight="1" x14ac:dyDescent="0.4">
      <c r="A5" s="6" t="s">
        <v>151</v>
      </c>
      <c r="B5" s="2" t="s">
        <v>246</v>
      </c>
      <c r="C5" s="6" t="s">
        <v>117</v>
      </c>
      <c r="D5" s="6">
        <v>10</v>
      </c>
      <c r="E5" s="2" t="s">
        <v>63</v>
      </c>
      <c r="F5" s="2" t="s">
        <v>247</v>
      </c>
      <c r="G5" s="2" t="s">
        <v>248</v>
      </c>
      <c r="H5" s="2" t="s">
        <v>249</v>
      </c>
      <c r="I5" s="2" t="s">
        <v>67</v>
      </c>
    </row>
    <row r="6" spans="1:9" ht="36" customHeight="1" x14ac:dyDescent="0.4">
      <c r="A6" s="8" t="s">
        <v>154</v>
      </c>
      <c r="B6" s="2" t="s">
        <v>250</v>
      </c>
      <c r="C6" s="8" t="s">
        <v>117</v>
      </c>
      <c r="D6" s="8">
        <v>30</v>
      </c>
      <c r="E6" s="2" t="s">
        <v>63</v>
      </c>
      <c r="F6" s="2" t="s">
        <v>251</v>
      </c>
      <c r="G6" s="2" t="s">
        <v>252</v>
      </c>
      <c r="H6" s="2" t="s">
        <v>253</v>
      </c>
      <c r="I6" s="2" t="s">
        <v>67</v>
      </c>
    </row>
    <row r="7" spans="1:9" ht="36" customHeight="1" x14ac:dyDescent="0.4">
      <c r="A7" s="7" t="s">
        <v>158</v>
      </c>
      <c r="B7" s="2" t="s">
        <v>254</v>
      </c>
      <c r="C7" s="7" t="s">
        <v>122</v>
      </c>
      <c r="D7" s="7">
        <v>100</v>
      </c>
      <c r="E7" s="2" t="s">
        <v>63</v>
      </c>
      <c r="F7" s="2" t="s">
        <v>152</v>
      </c>
      <c r="G7" s="2" t="s">
        <v>255</v>
      </c>
      <c r="H7" s="2" t="s">
        <v>65</v>
      </c>
      <c r="I7" s="2" t="s">
        <v>67</v>
      </c>
    </row>
    <row r="8" spans="1:9" ht="36" customHeight="1" x14ac:dyDescent="0.4">
      <c r="A8" s="6" t="s">
        <v>162</v>
      </c>
      <c r="B8" s="2" t="s">
        <v>256</v>
      </c>
      <c r="C8" s="6" t="s">
        <v>117</v>
      </c>
      <c r="D8" s="6">
        <v>20</v>
      </c>
      <c r="E8" s="2" t="s">
        <v>63</v>
      </c>
      <c r="F8" s="2" t="s">
        <v>257</v>
      </c>
      <c r="G8" s="2" t="s">
        <v>258</v>
      </c>
      <c r="H8" s="2" t="s">
        <v>259</v>
      </c>
      <c r="I8" s="2" t="s">
        <v>67</v>
      </c>
    </row>
    <row r="10" spans="1:9" x14ac:dyDescent="0.4">
      <c r="A10" s="34" t="s">
        <v>260</v>
      </c>
      <c r="B10" s="28"/>
      <c r="C10" s="28"/>
      <c r="D10" s="28"/>
      <c r="E10" s="28"/>
      <c r="F10" s="28"/>
      <c r="G10" s="28"/>
      <c r="H10" s="28"/>
      <c r="I10" s="28"/>
    </row>
  </sheetData>
  <mergeCells count="3">
    <mergeCell ref="A1:I1"/>
    <mergeCell ref="A2:I2"/>
    <mergeCell ref="A10:I10"/>
  </mergeCells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3"/>
  <sheetViews>
    <sheetView showGridLines="0" workbookViewId="0"/>
  </sheetViews>
  <sheetFormatPr defaultRowHeight="17.399999999999999" x14ac:dyDescent="0.4"/>
  <cols>
    <col min="1" max="1" width="18" customWidth="1"/>
    <col min="2" max="2" width="14" customWidth="1"/>
    <col min="3" max="3" width="18" customWidth="1"/>
    <col min="4" max="4" width="28" customWidth="1"/>
    <col min="5" max="5" width="34" customWidth="1"/>
    <col min="6" max="6" width="30" customWidth="1"/>
    <col min="7" max="7" width="28" customWidth="1"/>
  </cols>
  <sheetData>
    <row r="1" spans="1:7" x14ac:dyDescent="0.4">
      <c r="A1" s="27" t="s">
        <v>261</v>
      </c>
      <c r="B1" s="28"/>
      <c r="C1" s="28"/>
      <c r="D1" s="28"/>
      <c r="E1" s="28"/>
      <c r="F1" s="28"/>
      <c r="G1" s="28"/>
    </row>
    <row r="3" spans="1:7" x14ac:dyDescent="0.4">
      <c r="A3" s="1" t="s">
        <v>262</v>
      </c>
      <c r="B3" s="1" t="s">
        <v>1</v>
      </c>
      <c r="C3" s="1" t="s">
        <v>263</v>
      </c>
      <c r="D3" s="1" t="s">
        <v>264</v>
      </c>
      <c r="E3" s="1" t="s">
        <v>197</v>
      </c>
      <c r="F3" s="1" t="s">
        <v>265</v>
      </c>
      <c r="G3" s="1" t="s">
        <v>266</v>
      </c>
    </row>
    <row r="4" spans="1:7" ht="26.4" x14ac:dyDescent="0.4">
      <c r="A4" s="4" t="s">
        <v>22</v>
      </c>
      <c r="B4" s="2" t="s">
        <v>20</v>
      </c>
      <c r="C4" s="2" t="s">
        <v>267</v>
      </c>
      <c r="D4" s="2" t="s">
        <v>268</v>
      </c>
      <c r="E4" s="2" t="s">
        <v>269</v>
      </c>
      <c r="F4" s="2" t="s">
        <v>270</v>
      </c>
      <c r="G4" s="2" t="s">
        <v>271</v>
      </c>
    </row>
    <row r="5" spans="1:7" x14ac:dyDescent="0.4">
      <c r="A5" s="4" t="s">
        <v>31</v>
      </c>
      <c r="B5" s="2" t="s">
        <v>29</v>
      </c>
      <c r="C5" s="2" t="s">
        <v>272</v>
      </c>
      <c r="D5" s="2" t="s">
        <v>273</v>
      </c>
      <c r="E5" s="2" t="s">
        <v>274</v>
      </c>
      <c r="F5" s="2" t="s">
        <v>270</v>
      </c>
      <c r="G5" s="2" t="s">
        <v>271</v>
      </c>
    </row>
    <row r="6" spans="1:7" ht="26.4" x14ac:dyDescent="0.4">
      <c r="A6" s="4" t="s">
        <v>40</v>
      </c>
      <c r="B6" s="2" t="s">
        <v>38</v>
      </c>
      <c r="C6" s="2" t="s">
        <v>275</v>
      </c>
      <c r="D6" s="2" t="s">
        <v>276</v>
      </c>
      <c r="E6" s="2" t="s">
        <v>277</v>
      </c>
      <c r="F6" s="2" t="s">
        <v>270</v>
      </c>
      <c r="G6" s="2" t="s">
        <v>271</v>
      </c>
    </row>
    <row r="7" spans="1:7" x14ac:dyDescent="0.4">
      <c r="A7" s="4" t="s">
        <v>49</v>
      </c>
      <c r="B7" s="2" t="s">
        <v>47</v>
      </c>
      <c r="C7" s="2" t="s">
        <v>278</v>
      </c>
      <c r="D7" s="2" t="s">
        <v>273</v>
      </c>
      <c r="E7" s="2" t="s">
        <v>279</v>
      </c>
      <c r="F7" s="2" t="s">
        <v>270</v>
      </c>
      <c r="G7" s="2" t="s">
        <v>271</v>
      </c>
    </row>
    <row r="8" spans="1:7" x14ac:dyDescent="0.4">
      <c r="A8" s="4" t="s">
        <v>57</v>
      </c>
      <c r="B8" s="2" t="s">
        <v>55</v>
      </c>
      <c r="C8" s="2" t="s">
        <v>280</v>
      </c>
      <c r="D8" s="2" t="s">
        <v>273</v>
      </c>
      <c r="E8" s="2" t="s">
        <v>281</v>
      </c>
      <c r="F8" s="2" t="s">
        <v>270</v>
      </c>
      <c r="G8" s="2" t="s">
        <v>271</v>
      </c>
    </row>
    <row r="9" spans="1:7" x14ac:dyDescent="0.4">
      <c r="A9" s="4" t="s">
        <v>13</v>
      </c>
      <c r="B9" s="2" t="s">
        <v>11</v>
      </c>
      <c r="C9" s="2" t="s">
        <v>282</v>
      </c>
      <c r="D9" s="2" t="s">
        <v>283</v>
      </c>
      <c r="E9" s="2" t="s">
        <v>284</v>
      </c>
      <c r="F9" s="2" t="s">
        <v>270</v>
      </c>
      <c r="G9" s="2" t="s">
        <v>271</v>
      </c>
    </row>
    <row r="10" spans="1:7" x14ac:dyDescent="0.4">
      <c r="A10" s="4" t="s">
        <v>63</v>
      </c>
      <c r="B10" s="2" t="s">
        <v>61</v>
      </c>
      <c r="C10" s="2" t="s">
        <v>285</v>
      </c>
      <c r="D10" s="2" t="s">
        <v>273</v>
      </c>
      <c r="E10" s="2" t="s">
        <v>286</v>
      </c>
      <c r="F10" s="2" t="s">
        <v>287</v>
      </c>
      <c r="G10" s="2" t="s">
        <v>288</v>
      </c>
    </row>
    <row r="13" spans="1:7" x14ac:dyDescent="0.4">
      <c r="A13" s="34" t="s">
        <v>289</v>
      </c>
      <c r="B13" s="28"/>
      <c r="C13" s="28"/>
      <c r="D13" s="28"/>
      <c r="E13" s="28"/>
      <c r="F13" s="28"/>
      <c r="G13" s="28"/>
    </row>
  </sheetData>
  <mergeCells count="2">
    <mergeCell ref="A13:G13"/>
    <mergeCell ref="A1:G1"/>
  </mergeCells>
  <phoneticPr fontId="8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"/>
  <sheetViews>
    <sheetView showGridLines="0" workbookViewId="0"/>
  </sheetViews>
  <sheetFormatPr defaultRowHeight="17.399999999999999" x14ac:dyDescent="0.4"/>
  <cols>
    <col min="1" max="1" width="8" customWidth="1"/>
    <col min="2" max="2" width="20" customWidth="1"/>
    <col min="3" max="3" width="32" customWidth="1"/>
    <col min="4" max="4" width="24" customWidth="1"/>
    <col min="5" max="6" width="16" customWidth="1"/>
    <col min="7" max="7" width="32" customWidth="1"/>
    <col min="8" max="8" width="34" customWidth="1"/>
  </cols>
  <sheetData>
    <row r="1" spans="1:8" x14ac:dyDescent="0.4">
      <c r="A1" s="27" t="s">
        <v>290</v>
      </c>
      <c r="B1" s="28"/>
      <c r="C1" s="28"/>
      <c r="D1" s="28"/>
      <c r="E1" s="28"/>
      <c r="F1" s="28"/>
      <c r="G1" s="28"/>
      <c r="H1" s="28"/>
    </row>
    <row r="2" spans="1:8" x14ac:dyDescent="0.4">
      <c r="A2" s="1" t="s">
        <v>1</v>
      </c>
      <c r="B2" s="1" t="s">
        <v>291</v>
      </c>
      <c r="C2" s="1" t="s">
        <v>292</v>
      </c>
      <c r="D2" s="1" t="s">
        <v>293</v>
      </c>
      <c r="E2" s="1" t="s">
        <v>294</v>
      </c>
      <c r="F2" s="1" t="s">
        <v>295</v>
      </c>
      <c r="G2" s="1" t="s">
        <v>296</v>
      </c>
      <c r="H2" s="1" t="s">
        <v>297</v>
      </c>
    </row>
    <row r="3" spans="1:8" x14ac:dyDescent="0.4">
      <c r="A3" s="4" t="s">
        <v>11</v>
      </c>
      <c r="B3" s="2" t="s">
        <v>298</v>
      </c>
      <c r="C3" s="2" t="s">
        <v>299</v>
      </c>
      <c r="D3" s="2" t="s">
        <v>17</v>
      </c>
      <c r="E3" s="2" t="s">
        <v>300</v>
      </c>
      <c r="F3" s="2" t="s">
        <v>301</v>
      </c>
      <c r="G3" s="2" t="s">
        <v>302</v>
      </c>
      <c r="H3" s="2" t="s">
        <v>303</v>
      </c>
    </row>
    <row r="4" spans="1:8" x14ac:dyDescent="0.4">
      <c r="A4" s="4" t="s">
        <v>20</v>
      </c>
      <c r="B4" s="2" t="s">
        <v>298</v>
      </c>
      <c r="C4" s="2" t="s">
        <v>304</v>
      </c>
      <c r="D4" s="2" t="s">
        <v>26</v>
      </c>
      <c r="E4" s="2" t="s">
        <v>300</v>
      </c>
      <c r="F4" s="2" t="s">
        <v>301</v>
      </c>
      <c r="G4" s="2" t="s">
        <v>305</v>
      </c>
      <c r="H4" s="2" t="s">
        <v>306</v>
      </c>
    </row>
    <row r="5" spans="1:8" x14ac:dyDescent="0.4">
      <c r="A5" s="4" t="s">
        <v>29</v>
      </c>
      <c r="B5" s="2" t="s">
        <v>298</v>
      </c>
      <c r="C5" s="2" t="s">
        <v>307</v>
      </c>
      <c r="D5" s="2" t="s">
        <v>35</v>
      </c>
      <c r="E5" s="2" t="s">
        <v>300</v>
      </c>
      <c r="F5" s="2" t="s">
        <v>308</v>
      </c>
      <c r="G5" s="2" t="s">
        <v>309</v>
      </c>
      <c r="H5" s="2" t="s">
        <v>310</v>
      </c>
    </row>
    <row r="6" spans="1:8" x14ac:dyDescent="0.4">
      <c r="A6" s="4" t="s">
        <v>38</v>
      </c>
      <c r="B6" s="2" t="s">
        <v>298</v>
      </c>
      <c r="C6" s="2" t="s">
        <v>311</v>
      </c>
      <c r="D6" s="2" t="s">
        <v>44</v>
      </c>
      <c r="E6" s="2" t="s">
        <v>300</v>
      </c>
      <c r="F6" s="2" t="s">
        <v>301</v>
      </c>
      <c r="G6" s="2" t="s">
        <v>312</v>
      </c>
      <c r="H6" s="2" t="s">
        <v>313</v>
      </c>
    </row>
    <row r="7" spans="1:8" x14ac:dyDescent="0.4">
      <c r="A7" s="4" t="s">
        <v>47</v>
      </c>
      <c r="B7" s="2" t="s">
        <v>298</v>
      </c>
      <c r="C7" s="2" t="s">
        <v>314</v>
      </c>
      <c r="D7" s="2" t="s">
        <v>53</v>
      </c>
      <c r="E7" s="2" t="s">
        <v>300</v>
      </c>
      <c r="F7" s="2" t="s">
        <v>308</v>
      </c>
      <c r="G7" s="2" t="s">
        <v>315</v>
      </c>
      <c r="H7" s="2" t="s">
        <v>316</v>
      </c>
    </row>
    <row r="8" spans="1:8" x14ac:dyDescent="0.4">
      <c r="A8" s="4" t="s">
        <v>55</v>
      </c>
      <c r="B8" s="2" t="s">
        <v>298</v>
      </c>
      <c r="C8" s="2" t="s">
        <v>317</v>
      </c>
      <c r="D8" s="2" t="s">
        <v>59</v>
      </c>
      <c r="E8" s="2" t="s">
        <v>300</v>
      </c>
      <c r="F8" s="2" t="s">
        <v>308</v>
      </c>
      <c r="G8" s="2" t="s">
        <v>315</v>
      </c>
      <c r="H8" s="2" t="s">
        <v>318</v>
      </c>
    </row>
    <row r="9" spans="1:8" x14ac:dyDescent="0.4">
      <c r="A9" s="4" t="s">
        <v>61</v>
      </c>
      <c r="B9" s="2" t="s">
        <v>298</v>
      </c>
      <c r="C9" s="2" t="s">
        <v>319</v>
      </c>
      <c r="D9" s="2" t="s">
        <v>67</v>
      </c>
      <c r="E9" s="2" t="s">
        <v>300</v>
      </c>
      <c r="F9" s="2" t="s">
        <v>308</v>
      </c>
      <c r="G9" s="2" t="s">
        <v>315</v>
      </c>
      <c r="H9" s="2" t="s">
        <v>320</v>
      </c>
    </row>
  </sheetData>
  <mergeCells count="1">
    <mergeCell ref="A1:H1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QUIZ_LIST</vt:lpstr>
      <vt:lpstr>Q01_CONSEQUENCE</vt:lpstr>
      <vt:lpstr>Q02_SETTING</vt:lpstr>
      <vt:lpstr>Q03_INIT_EVENT</vt:lpstr>
      <vt:lpstr>Q04_ATTEMPT</vt:lpstr>
      <vt:lpstr>Q05_REACTION</vt:lpstr>
      <vt:lpstr>Q06_INTERNAL</vt:lpstr>
      <vt:lpstr>Q07_SYNTHESIS</vt:lpstr>
      <vt:lpstr>SG_SCORING</vt:lpstr>
      <vt:lpstr>LRS_MAPPING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chaebong</cp:lastModifiedBy>
  <dcterms:created xsi:type="dcterms:W3CDTF">2026-06-21T06:33:15Z</dcterms:created>
  <dcterms:modified xsi:type="dcterms:W3CDTF">2026-06-21T15:14:06Z</dcterms:modified>
</cp:coreProperties>
</file>