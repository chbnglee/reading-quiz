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M_1075\Documents\GitHub\reading-quiz\OG0021\"/>
    </mc:Choice>
  </mc:AlternateContent>
  <xr:revisionPtr revIDLastSave="0" documentId="13_ncr:1_{735EEB99-151C-4357-A42F-BFB384B92AFA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QUIZ_LIST" sheetId="1" r:id="rId1"/>
    <sheet name="Q01_SEQUENCING" sheetId="2" r:id="rId2"/>
    <sheet name="Q02_SENT_MATCH" sheetId="3" r:id="rId3"/>
    <sheet name="Q03_UNSCRAMBLE" sheetId="4" r:id="rId4"/>
    <sheet name="Q04_EMOTION" sheetId="7" r:id="rId5"/>
    <sheet name="Q05_CHAR_GOAL" sheetId="6" r:id="rId6"/>
    <sheet name="Q06_MAIN_IDEA" sheetId="5" r:id="rId7"/>
    <sheet name="SCORING_RULES" sheetId="8" r:id="rId8"/>
    <sheet name="LRS_MAPPING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3" i="4" l="1"/>
  <c r="F12" i="4"/>
  <c r="F11" i="4"/>
  <c r="F10" i="4"/>
  <c r="F9" i="4"/>
  <c r="F8" i="4"/>
  <c r="F13" i="4" s="1"/>
  <c r="D14" i="2"/>
  <c r="F13" i="2"/>
  <c r="F12" i="2"/>
  <c r="F11" i="2"/>
  <c r="F10" i="2"/>
  <c r="F14" i="2" s="1"/>
  <c r="F9" i="2"/>
  <c r="G8" i="4" l="1"/>
  <c r="G10" i="4"/>
  <c r="G9" i="4"/>
  <c r="G11" i="4"/>
  <c r="G12" i="4"/>
</calcChain>
</file>

<file path=xl/sharedStrings.xml><?xml version="1.0" encoding="utf-8"?>
<sst xmlns="http://schemas.openxmlformats.org/spreadsheetml/2006/main" count="497" uniqueCount="354">
  <si>
    <t>OG0021 Reading Quiz — Master List (Milo and the Lost Color)</t>
  </si>
  <si>
    <t>Q_ID</t>
  </si>
  <si>
    <t>Quiz Type</t>
  </si>
  <si>
    <t>Story Grammar Element</t>
  </si>
  <si>
    <t>Question (EN)</t>
  </si>
  <si>
    <t>Scene Ref</t>
  </si>
  <si>
    <t>Answer Sheet</t>
  </si>
  <si>
    <t>Max Score</t>
  </si>
  <si>
    <t>LRS sg_element</t>
  </si>
  <si>
    <t>Scoring Mode</t>
  </si>
  <si>
    <t>Sheet Ref</t>
  </si>
  <si>
    <t>Q01</t>
  </si>
  <si>
    <t>Scene Sequencing</t>
  </si>
  <si>
    <t>Setting→IE→Attempt→Resolution</t>
  </si>
  <si>
    <t>Put the 5 scenes in story order.</t>
  </si>
  <si>
    <t>SC01/SC03/SC05/SC06/SC10</t>
  </si>
  <si>
    <t>1-3-5-6-10</t>
  </si>
  <si>
    <t>100</t>
  </si>
  <si>
    <t>setting,initiating_event,attempt,resolution</t>
  </si>
  <si>
    <t>Weighted Position</t>
  </si>
  <si>
    <t>Q01_SEQUENCING</t>
  </si>
  <si>
    <t>Q02</t>
  </si>
  <si>
    <t>Sentence-Scene Match</t>
  </si>
  <si>
    <t>Initiating Event</t>
  </si>
  <si>
    <t>Which scene does this sentence come from?</t>
  </si>
  <si>
    <t>SC02/SC03/SC06/SC08</t>
  </si>
  <si>
    <t>SC02</t>
  </si>
  <si>
    <t>initiating_event</t>
  </si>
  <si>
    <t>Weighted MCQ</t>
  </si>
  <si>
    <t>Q02_SENT_MATCH</t>
  </si>
  <si>
    <t>Q03</t>
  </si>
  <si>
    <t>Sentence Unscramble</t>
  </si>
  <si>
    <t>Attempt</t>
  </si>
  <si>
    <t>Put the words in order to make a sentence.</t>
  </si>
  <si>
    <t>SC04_ST02_N</t>
  </si>
  <si>
    <t>My color helps me fly.</t>
  </si>
  <si>
    <t>attempt</t>
  </si>
  <si>
    <t>Weighted Unscramble</t>
  </si>
  <si>
    <t>Q03_UNSCRAMBLE</t>
  </si>
  <si>
    <t>Q04</t>
  </si>
  <si>
    <t>Main Idea MCQ</t>
  </si>
  <si>
    <t>Theme / Resolution</t>
  </si>
  <si>
    <t>What is the main message of this story?</t>
  </si>
  <si>
    <t>-</t>
  </si>
  <si>
    <t>Option C</t>
  </si>
  <si>
    <t>theme</t>
  </si>
  <si>
    <t>Q04_MAIN_IDEA</t>
  </si>
  <si>
    <t>Q05</t>
  </si>
  <si>
    <t>Character Goal MCQ</t>
  </si>
  <si>
    <t>Initiating Event / Goal</t>
  </si>
  <si>
    <t>What does Milo want to find?</t>
  </si>
  <si>
    <t>Option A</t>
  </si>
  <si>
    <t>Q05_CHAR_GOAL</t>
  </si>
  <si>
    <t>Q06</t>
  </si>
  <si>
    <t>Emotion Identification</t>
  </si>
  <si>
    <t>Reaction / Internal Response</t>
  </si>
  <si>
    <t>How does Milo feel in scene SC06?</t>
  </si>
  <si>
    <t>SC06</t>
  </si>
  <si>
    <t>Option B</t>
  </si>
  <si>
    <t>reaction</t>
  </si>
  <si>
    <t>Q06_EMOTION</t>
  </si>
  <si>
    <t>Each question sheet defines per-option/position scores and weights. The HTML file reads this workbook via SheetJS to render the live quiz.</t>
  </si>
  <si>
    <t>Q01 — Scene Sequencing | Story Grammar: Full Arc</t>
  </si>
  <si>
    <t>Question: Put the 5 scene images in the correct story order by dragging them into position.</t>
  </si>
  <si>
    <t>Scenes provided:  OG0021_SC01_I  |  OG0021_SC03_I  |  OG0021_SC05_I  |  OG0021_SC06_I  |  OG0021_SC10_I</t>
  </si>
  <si>
    <t>Correct Answer: SC01 → SC03 → SC05 → SC06 → SC10</t>
  </si>
  <si>
    <t>Story Grammar: SC01=Setting | SC03=Initiating Event/1st Attempt | SC05=2nd Attempt | SC06=Consequence/Reaction | SC10=Resolution</t>
  </si>
  <si>
    <t>SECTION A — Position Weight per Scene</t>
  </si>
  <si>
    <t>Scene Asset</t>
  </si>
  <si>
    <t>Correct Pos</t>
  </si>
  <si>
    <t>Story Grammar Role</t>
  </si>
  <si>
    <t>Position Weight</t>
  </si>
  <si>
    <t>Weight Rationale</t>
  </si>
  <si>
    <t>Max Points</t>
  </si>
  <si>
    <t>OG0021_SC01_I</t>
  </si>
  <si>
    <t>Setting (story opening)</t>
  </si>
  <si>
    <t>Unambiguous first scene. Placing wrong = fundamental arc gap.</t>
  </si>
  <si>
    <t>OG0021_SC03_I</t>
  </si>
  <si>
    <t>Initiating Event / 1st Attempt</t>
  </si>
  <si>
    <t>Clear event but mid-story; SC03/SC05 confusion is forgivable.</t>
  </si>
  <si>
    <t>OG0021_SC05_I</t>
  </si>
  <si>
    <t>2nd Attempt</t>
  </si>
  <si>
    <t>Similar to SC03; mixing these two is penalized less.</t>
  </si>
  <si>
    <t>OG0021_SC06_I</t>
  </si>
  <si>
    <t>Consequence / Reaction</t>
  </si>
  <si>
    <t>Emotional turning-point; close to SC05 thematically — smallest penalty.</t>
  </si>
  <si>
    <t>OG0021_SC10_I</t>
  </si>
  <si>
    <t>Resolution (returns home)</t>
  </si>
  <si>
    <t>Unambiguous final scene. Placing wrong = fundamental arc gap.</t>
  </si>
  <si>
    <t>TOTAL</t>
  </si>
  <si>
    <t>SECTION B — Score Matrix: Points per (Scene, Submitted Position)</t>
  </si>
  <si>
    <t>Scene \ Submitted Pos</t>
  </si>
  <si>
    <t>Pos 1</t>
  </si>
  <si>
    <t>Pos 2</t>
  </si>
  <si>
    <t>Pos 3</t>
  </si>
  <si>
    <t>Pos 4</t>
  </si>
  <si>
    <t>Pos 5</t>
  </si>
  <si>
    <t>SECTION C — Example Answer Scores</t>
  </si>
  <si>
    <t>Example Student Answer</t>
  </si>
  <si>
    <t>Submitted Order</t>
  </si>
  <si>
    <t>Score</t>
  </si>
  <si>
    <t>Interpretation</t>
  </si>
  <si>
    <t>Perfect</t>
  </si>
  <si>
    <t>SC01-SC03-SC05-SC06-SC10</t>
  </si>
  <si>
    <t>Full story arc understood</t>
  </si>
  <si>
    <t>SC05/SC06 swapped</t>
  </si>
  <si>
    <t>SC01-SC03-SC06-SC05-SC10</t>
  </si>
  <si>
    <t>Adjacent attempt/consequence swap — penalty mild</t>
  </si>
  <si>
    <t>Middle scrambled</t>
  </si>
  <si>
    <t>SC01-SC06-SC05-SC03-SC10</t>
  </si>
  <si>
    <t>Anchor points correct; internal sequence weak</t>
  </si>
  <si>
    <t>Beginning/end wrong</t>
  </si>
  <si>
    <t>SC03-SC01-SC10-SC05-SC06</t>
  </si>
  <si>
    <t>Story arc fundamentally misunderstood</t>
  </si>
  <si>
    <t>LRS: verb="answered" | object="quiz_OG0021_Q01_sequencing" | result.sg_element="setting,initiating_event,attempt,consequence,resolution" | result.sequence_submitted=[] | result.score_raw=&lt;n&gt; | result.position_scores={}</t>
  </si>
  <si>
    <t>Q02 — Sentence-Scene Match | Story Grammar: Initiating Event</t>
  </si>
  <si>
    <t>Question: Read the sentence below. Which scene image does this sentence come from?</t>
  </si>
  <si>
    <t>Target Sentence (SC02_ST01_N): "But one morning, he wakes up gray."</t>
  </si>
  <si>
    <t>Option</t>
  </si>
  <si>
    <t>Scene Image</t>
  </si>
  <si>
    <t>Scene Description</t>
  </si>
  <si>
    <t>Correct?</t>
  </si>
  <si>
    <t>Distractor Rationale</t>
  </si>
  <si>
    <t>Weakness Signal</t>
  </si>
  <si>
    <t>A</t>
  </si>
  <si>
    <t>OG0021_SC02_I</t>
  </si>
  <si>
    <t>Milo wakes up gray, looks sad</t>
  </si>
  <si>
    <t>YES</t>
  </si>
  <si>
    <t>—</t>
  </si>
  <si>
    <t>B</t>
  </si>
  <si>
    <t>Milo in forest, meets butterfly</t>
  </si>
  <si>
    <t>NO</t>
  </si>
  <si>
    <t>Forest scene; student conflates gray mood with search</t>
  </si>
  <si>
    <t>Understands problem led to action; misidentifies exact scene</t>
  </si>
  <si>
    <t>C</t>
  </si>
  <si>
    <t>Milo sits sad by blue pond</t>
  </si>
  <si>
    <t>Consequence/Reaction</t>
  </si>
  <si>
    <t>Also sad/gray in tone — emotionally similar</t>
  </si>
  <si>
    <t>Focuses on emotion not specific event; shallow literal comprehension</t>
  </si>
  <si>
    <t>consequence</t>
  </si>
  <si>
    <t>D</t>
  </si>
  <si>
    <t>OG0021_SC09_I</t>
  </si>
  <si>
    <t>Colors return — Milo glowing</t>
  </si>
  <si>
    <t>Resolution</t>
  </si>
  <si>
    <t>Opposite of gray; confuses color change direction</t>
  </si>
  <si>
    <t>No story direction understanding; likely guessing</t>
  </si>
  <si>
    <t>resolution</t>
  </si>
  <si>
    <t>LRS: verb="answered" | object="quiz_OG0021_Q02_sent_match" | result.sg_element="initiating_event" | result.option_selected=&lt;A/B/C/D&gt; | result.score_raw=&lt;n&gt;</t>
  </si>
  <si>
    <t>Q03 — Sentence Unscramble | Story Grammar: Attempt</t>
  </si>
  <si>
    <t>Question: The words below are mixed up. Drag them into the correct order to make a sentence.</t>
  </si>
  <si>
    <t>Source: SC04_ST02_N  |  Correct: "My color helps me fly."</t>
  </si>
  <si>
    <t>Scrambled tokens presented to student: [ helps ] [ fly. ] [ color ] [ My ] [ me ]</t>
  </si>
  <si>
    <t>SECTION A — Per-Word Position Weight</t>
  </si>
  <si>
    <t>Word Token</t>
  </si>
  <si>
    <t>Grammatical Role</t>
  </si>
  <si>
    <t>Word Weight</t>
  </si>
  <si>
    <t>Cumulative</t>
  </si>
  <si>
    <t>My</t>
  </si>
  <si>
    <t>Possessive determiner (opener)</t>
  </si>
  <si>
    <t>Marks ownership/perspective; wrong placement = syntax confusion</t>
  </si>
  <si>
    <t>color</t>
  </si>
  <si>
    <t>Subject noun</t>
  </si>
  <si>
    <t>Content word; confusion with "me" = noun/pronoun error</t>
  </si>
  <si>
    <t>helps</t>
  </si>
  <si>
    <t>Main verb</t>
  </si>
  <si>
    <t>Verb position critical for SVO structure</t>
  </si>
  <si>
    <t>me</t>
  </si>
  <si>
    <t>Object pronoun</t>
  </si>
  <si>
    <t>Swapping with "color" = common noun/pronoun confusion</t>
  </si>
  <si>
    <t>fly.</t>
  </si>
  <si>
    <t>Infinitive complement (closer)</t>
  </si>
  <si>
    <t>Closing content word; missing = incomplete predicate</t>
  </si>
  <si>
    <t>100 check</t>
  </si>
  <si>
    <t>SECTION B — Partial Score Examples</t>
  </si>
  <si>
    <t>Student Answer</t>
  </si>
  <si>
    <t>Correct Positions</t>
  </si>
  <si>
    <t>5/5</t>
  </si>
  <si>
    <t>My color helps fly. me</t>
  </si>
  <si>
    <t>4/5 (me/fly swapped)</t>
  </si>
  <si>
    <t>SVO complement ordering</t>
  </si>
  <si>
    <t>color My helps me fly.</t>
  </si>
  <si>
    <t>3/5 (My/color swapped)</t>
  </si>
  <si>
    <t>Possessive determiner syntax</t>
  </si>
  <si>
    <t>helps My color me fly.</t>
  </si>
  <si>
    <t>2/5 (verb fronted)</t>
  </si>
  <si>
    <t>Basic SVO structure</t>
  </si>
  <si>
    <t>fly. me color helps My</t>
  </si>
  <si>
    <t>0/5</t>
  </si>
  <si>
    <t>No syntactic understanding</t>
  </si>
  <si>
    <t>LRS: verb="answered" | object="quiz_OG0021_Q03_unscramble" | result.sg_element="attempt" | result.word_order_submitted=[] | result.score_raw=&lt;n&gt; | result.words_correct=&lt;n&gt;/5</t>
  </si>
  <si>
    <t>Question: What is the main message of this story?</t>
  </si>
  <si>
    <t>Option Text</t>
  </si>
  <si>
    <t>Distractor Type</t>
  </si>
  <si>
    <t>Chameleons can change their colors.</t>
  </si>
  <si>
    <t>Setting detail</t>
  </si>
  <si>
    <t>Literal distractor</t>
  </si>
  <si>
    <t>Takes animal fact instead of theme</t>
  </si>
  <si>
    <t>Surface reader; cannot distinguish theme from setting</t>
  </si>
  <si>
    <t>setting</t>
  </si>
  <si>
    <t>Asking for help is important.</t>
  </si>
  <si>
    <t>Attempt misread</t>
  </si>
  <si>
    <t>Partial theme</t>
  </si>
  <si>
    <t>Recognizes attempts but misses internal resolution</t>
  </si>
  <si>
    <t>Focuses on action not internal discovery; mid-level comprehension</t>
  </si>
  <si>
    <t>Your true colors come from inside you.</t>
  </si>
  <si>
    <t>Correct</t>
  </si>
  <si>
    <t>Colors are found in nature — butterflies and flowers.</t>
  </si>
  <si>
    <t>Detail distractor</t>
  </si>
  <si>
    <t>Plot detail</t>
  </si>
  <si>
    <t>Remembers specific scenes; cannot extract abstract meaning</t>
  </si>
  <si>
    <t>Episodic memory strong; thematic inference weak</t>
  </si>
  <si>
    <t>LRS: verb="answered" | object="quiz_OG0021_Q04_main_idea" | result.sg_element="theme" | result.option_selected=&lt;A/B/C/D&gt; | result.score_raw=&lt;n&gt; | result.semantic_distance=&lt;0.0-1.0&gt;</t>
  </si>
  <si>
    <t>Q05 — Character Goal MCQ | Story Grammar: Initiating Event / Goal</t>
  </si>
  <si>
    <t>Question: What does Milo want to find at the beginning of the story?</t>
  </si>
  <si>
    <t>His lost color</t>
  </si>
  <si>
    <t>A new friend in the forest</t>
  </si>
  <si>
    <t>Setting distractor</t>
  </si>
  <si>
    <t>Remembers forest scene; confuses goal with setting</t>
  </si>
  <si>
    <t>Cannot extract protagonist goal from setting details</t>
  </si>
  <si>
    <t>Food for butterflies and flowers</t>
  </si>
  <si>
    <t>Unrelated detail</t>
  </si>
  <si>
    <t>Wild distractor</t>
  </si>
  <si>
    <t>No narrative connection</t>
  </si>
  <si>
    <t>Random guess or no comprehension</t>
  </si>
  <si>
    <t>A place to sit and rest</t>
  </si>
  <si>
    <t>Consequence misread</t>
  </si>
  <si>
    <t>Partial event</t>
  </si>
  <si>
    <t>Recalls pond scene (sitting) but misses emotional cause</t>
  </si>
  <si>
    <t>Story comprehension at surface action level only</t>
  </si>
  <si>
    <t>LRS: verb="answered" | object="quiz_OG0021_Q05_char_goal" | result.sg_element="initiating_event" | result.option_selected=&lt;A/B/C/D&gt; | result.score_raw=&lt;n&gt;</t>
  </si>
  <si>
    <t>Question: Look at scene SC06. How does Milo feel in this scene?</t>
  </si>
  <si>
    <t>Source: SC06_Emotion = Neutral, Sad  |  Scene text (SC06_ST01-ST06_N): "Milo is sad. Everyone has their own color. He sits by a blue pond. He cries."</t>
  </si>
  <si>
    <t>Happy and excited</t>
  </si>
  <si>
    <t>Internal Response mismatch</t>
  </si>
  <si>
    <t>Opposite emotion</t>
  </si>
  <si>
    <t>Confuses resolution emotion (SC09) with this scene</t>
  </si>
  <si>
    <t>Cannot map emotions to specific moments; temporal confusion</t>
  </si>
  <si>
    <t>internal_response</t>
  </si>
  <si>
    <t>Sad and disappointed</t>
  </si>
  <si>
    <t>SC06_Emotion=Sad confirmed in source data</t>
  </si>
  <si>
    <t>Angry and frustrated</t>
  </si>
  <si>
    <t>Partial emotion read</t>
  </si>
  <si>
    <t>Adjacent negative emotion</t>
  </si>
  <si>
    <t>Recognizes negative valence but mislabels intensity</t>
  </si>
  <si>
    <t>Emotion at valence level only; cannot distinguish sad vs angry</t>
  </si>
  <si>
    <t>Curious and hopeful</t>
  </si>
  <si>
    <t>Anticipatory read</t>
  </si>
  <si>
    <t>Forward-looking distractor</t>
  </si>
  <si>
    <t>Projects pond discovery onto this moment</t>
  </si>
  <si>
    <t>Skips current state; reads ahead narratively</t>
  </si>
  <si>
    <t>LRS: verb="answered" | object="quiz_OG0021_Q06_emotion" | result.sg_element="reaction" | result.option_selected=&lt;A/B/C/D&gt; | result.score_raw=&lt;n&gt; | result.semantic_distance=&lt;0.0-1.0&gt;</t>
  </si>
  <si>
    <t>Global Scoring Rules — OG0021 Reading Quiz</t>
  </si>
  <si>
    <t>SECTION A — Score Band Interpretation</t>
  </si>
  <si>
    <t>Band</t>
  </si>
  <si>
    <t>Score Range</t>
  </si>
  <si>
    <t>Color</t>
  </si>
  <si>
    <t>LRS Risk Signal</t>
  </si>
  <si>
    <t>SG Insight</t>
  </si>
  <si>
    <t>MRI Profile Impact</t>
  </si>
  <si>
    <t>Recommendation</t>
  </si>
  <si>
    <t>Mastery</t>
  </si>
  <si>
    <t>85-100</t>
  </si>
  <si>
    <t>Green</t>
  </si>
  <si>
    <t>None</t>
  </si>
  <si>
    <t>Full SG element understood</t>
  </si>
  <si>
    <t>V+/L+ in profile</t>
  </si>
  <si>
    <t>Proceed to next level</t>
  </si>
  <si>
    <t>Developing</t>
  </si>
  <si>
    <t>60-84</t>
  </si>
  <si>
    <t>Gold</t>
  </si>
  <si>
    <t>Meaning Signal (mild)</t>
  </si>
  <si>
    <t>Partial narrative understanding</t>
  </si>
  <si>
    <t>V0 — maintain level</t>
  </si>
  <si>
    <t>Review target scene</t>
  </si>
  <si>
    <t>Emerging</t>
  </si>
  <si>
    <t>30-59</t>
  </si>
  <si>
    <t>Orange</t>
  </si>
  <si>
    <t>Meaning Signal (moderate)</t>
  </si>
  <si>
    <t>Surface/literal only</t>
  </si>
  <si>
    <t>V- — flag for booster</t>
  </si>
  <si>
    <t>Assign Booster Content</t>
  </si>
  <si>
    <t>Beginning</t>
  </si>
  <si>
    <t>0-29</t>
  </si>
  <si>
    <t>Red</t>
  </si>
  <si>
    <t>Meaning Signal (strong)</t>
  </si>
  <si>
    <t>Fundamental gap; guessing</t>
  </si>
  <si>
    <t>V-- — priority intervention</t>
  </si>
  <si>
    <t>Comprehension Booster + re-read</t>
  </si>
  <si>
    <t>SECTION B — Weighting Rationale by Story Grammar Element</t>
  </si>
  <si>
    <t>SG Element</t>
  </si>
  <si>
    <t>Quiz Coverage</t>
  </si>
  <si>
    <t>Why Weighted</t>
  </si>
  <si>
    <t>LRS Engine</t>
  </si>
  <si>
    <t>Weakness Signal if Missed</t>
  </si>
  <si>
    <t>Setting</t>
  </si>
  <si>
    <t>Q01 (SC01, pos 1)</t>
  </si>
  <si>
    <t>Entry anchor — gate to all other elements</t>
  </si>
  <si>
    <t>Vocab &amp; Comprehension Engine</t>
  </si>
  <si>
    <t>Literal comprehension dependency</t>
  </si>
  <si>
    <t>Q01 (SC03), Q02, Q05</t>
  </si>
  <si>
    <t>Core problem; misidentifying = no narrative schema</t>
  </si>
  <si>
    <t>Inferencing weakness</t>
  </si>
  <si>
    <t>Q01 (SC05), Q03, Q04(partial)</t>
  </si>
  <si>
    <t>Repetitive structure — confusion = sequential processing gap</t>
  </si>
  <si>
    <t>Semantic Decision Stability</t>
  </si>
  <si>
    <t>Q01 (SC06), Q06</t>
  </si>
  <si>
    <t>Emotional scene — confusion = emotion inference gap</t>
  </si>
  <si>
    <t>Expression Engine</t>
  </si>
  <si>
    <t>Emotion inference (Expression Signal)</t>
  </si>
  <si>
    <t>Q01 (SC10, pos 5), Q04</t>
  </si>
  <si>
    <t>Exit anchor — without this, theme extraction fails</t>
  </si>
  <si>
    <t>Inferencing / Story Transfer weakness</t>
  </si>
  <si>
    <t>Theme</t>
  </si>
  <si>
    <t>Highest-order comprehension — abstraction beyond literal</t>
  </si>
  <si>
    <t>V&amp;C Engine + Expression Engine</t>
  </si>
  <si>
    <t>Limited reasoning (Expression Signal)</t>
  </si>
  <si>
    <t>Internal Response (Emotion)</t>
  </si>
  <si>
    <t>Moment-level emotion mapping</t>
  </si>
  <si>
    <t>Perspective taking weakness</t>
  </si>
  <si>
    <t>SECTION C — MRI Profile Contribution (per Slide 23 LRS Policy)</t>
  </si>
  <si>
    <t>Quiz scores feed into Vocabulary &amp; Comprehension Engine (V-score) and partially Expression Engine (L-score).</t>
  </si>
  <si>
    <t>Parent Report (3-tier): Level (e.g. Lv4 — Vocabulary Retrieval) | Detail Profile: P3/V1/L2 | Risk Points: Inferencing weakness / Emotion identification gap</t>
  </si>
  <si>
    <t>LRS xAPI Mapping — OG0021 Quiz Statements</t>
  </si>
  <si>
    <t>xAPI Verb</t>
  </si>
  <si>
    <t>xAPI Object</t>
  </si>
  <si>
    <t>result.sg_element</t>
  </si>
  <si>
    <t>result.score_raw</t>
  </si>
  <si>
    <t>result.correct</t>
  </si>
  <si>
    <t>Extra Fields</t>
  </si>
  <si>
    <t>Risk Signal</t>
  </si>
  <si>
    <t>answered</t>
  </si>
  <si>
    <t>quiz_OG0021_Q01_sequencing</t>
  </si>
  <si>
    <t>setting,initiating_event,attempt,consequence,resolution</t>
  </si>
  <si>
    <t>0-100</t>
  </si>
  <si>
    <t>partial</t>
  </si>
  <si>
    <t>sequence_submitted[], position_scores{}</t>
  </si>
  <si>
    <t>Meaning Signal if &lt;60</t>
  </si>
  <si>
    <t>quiz_OG0021_Q02_sent_match</t>
  </si>
  <si>
    <t>true/false</t>
  </si>
  <si>
    <t>option_selected, response_latency_ms</t>
  </si>
  <si>
    <t>Meaning Signal if option!=A</t>
  </si>
  <si>
    <t>quiz_OG0021_Q03_unscramble</t>
  </si>
  <si>
    <t>word_order_submitted[], words_correct/5</t>
  </si>
  <si>
    <t>quiz_OG0021_Q04_main_idea</t>
  </si>
  <si>
    <t>option_selected, semantic_distance</t>
  </si>
  <si>
    <t>Expression Signal if &lt;30 (limited reasoning)</t>
  </si>
  <si>
    <t>quiz_OG0021_Q05_char_goal</t>
  </si>
  <si>
    <t>quiz_OG0021_Q06_emotion</t>
  </si>
  <si>
    <t>Expression Signal if &lt;40 (emotion inference)</t>
  </si>
  <si>
    <t>Single LRS storage (xAPI). V&amp;C Engine reads sg_element + score_raw for Q01-Q05. Expression Engine reads Q04/Q06 semantic_distance. MRI report: V-level (Q01-Q05) + L-level (Q04, Q06).</t>
  </si>
  <si>
    <t>Q06 — Main Idea MCQ | Story Grammar: Theme / Resolution</t>
    <phoneticPr fontId="10" type="noConversion"/>
  </si>
  <si>
    <t>Q04 — Emotion Identification MCQ | Story Grammar: Reaction / Internal Response</t>
    <phoneticPr fontId="10" type="noConversion"/>
  </si>
  <si>
    <t>Q04</t>
    <phoneticPr fontId="10" type="noConversion"/>
  </si>
  <si>
    <t>Q06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</si>
</sst>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b/>
      <sz val="12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name val="맑은 고딕"/>
      <family val="3"/>
      <charset val="129"/>
    </font>
    <font>
      <i/>
      <sz val="9"/>
      <color rgb="FF555555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BDD7EE"/>
      </patternFill>
    </fill>
    <fill>
      <patternFill patternType="solid">
        <fgColor rgb="FF70AD47"/>
      </patternFill>
    </fill>
    <fill>
      <patternFill patternType="solid">
        <fgColor rgb="FFFFD966"/>
      </patternFill>
    </fill>
    <fill>
      <patternFill patternType="solid">
        <fgColor rgb="FFFFCCCC"/>
      </patternFill>
    </fill>
    <fill>
      <patternFill patternType="solid">
        <fgColor rgb="FFFFEE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6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0" borderId="0" xfId="0" applyFont="1" applyAlignment="1">
      <alignment vertical="center" wrapText="1"/>
    </xf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showGridLines="0" tabSelected="1" workbookViewId="0">
      <selection sqref="A1:J1"/>
    </sheetView>
  </sheetViews>
  <sheetFormatPr defaultRowHeight="16.899999999999999" x14ac:dyDescent="0.6"/>
  <cols>
    <col min="1" max="1" width="8" customWidth="1"/>
    <col min="2" max="2" width="18" customWidth="1"/>
    <col min="3" max="3" width="22" customWidth="1"/>
    <col min="4" max="4" width="20" customWidth="1"/>
    <col min="5" max="6" width="14" customWidth="1"/>
    <col min="7" max="7" width="16" customWidth="1"/>
    <col min="8" max="9" width="22" customWidth="1"/>
    <col min="10" max="10" width="16" customWidth="1"/>
  </cols>
  <sheetData>
    <row r="1" spans="1:10" ht="28.05" customHeight="1" x14ac:dyDescent="0.6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30" customHeight="1" x14ac:dyDescent="0.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28.05" customHeight="1" x14ac:dyDescent="0.6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</row>
    <row r="4" spans="1:10" ht="28.05" customHeight="1" x14ac:dyDescent="0.6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17</v>
      </c>
      <c r="H4" s="3" t="s">
        <v>27</v>
      </c>
      <c r="I4" s="3" t="s">
        <v>28</v>
      </c>
      <c r="J4" s="3" t="s">
        <v>29</v>
      </c>
    </row>
    <row r="5" spans="1:10" ht="28.05" customHeight="1" x14ac:dyDescent="0.6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17</v>
      </c>
      <c r="H5" s="3" t="s">
        <v>36</v>
      </c>
      <c r="I5" s="3" t="s">
        <v>37</v>
      </c>
      <c r="J5" s="3" t="s">
        <v>38</v>
      </c>
    </row>
    <row r="6" spans="1:10" ht="28.05" customHeight="1" x14ac:dyDescent="0.6">
      <c r="A6" s="3" t="s">
        <v>352</v>
      </c>
      <c r="B6" s="3" t="s">
        <v>54</v>
      </c>
      <c r="C6" s="3" t="s">
        <v>55</v>
      </c>
      <c r="D6" s="3" t="s">
        <v>56</v>
      </c>
      <c r="E6" s="3" t="s">
        <v>57</v>
      </c>
      <c r="F6" s="3" t="s">
        <v>58</v>
      </c>
      <c r="G6" s="3" t="s">
        <v>17</v>
      </c>
      <c r="H6" s="3" t="s">
        <v>59</v>
      </c>
      <c r="I6" s="3" t="s">
        <v>28</v>
      </c>
      <c r="J6" s="3" t="s">
        <v>60</v>
      </c>
    </row>
    <row r="7" spans="1:10" ht="28.05" customHeight="1" x14ac:dyDescent="0.6">
      <c r="A7" s="3" t="s">
        <v>47</v>
      </c>
      <c r="B7" s="3" t="s">
        <v>48</v>
      </c>
      <c r="C7" s="3" t="s">
        <v>49</v>
      </c>
      <c r="D7" s="3" t="s">
        <v>50</v>
      </c>
      <c r="E7" s="3" t="s">
        <v>43</v>
      </c>
      <c r="F7" s="3" t="s">
        <v>51</v>
      </c>
      <c r="G7" s="3" t="s">
        <v>17</v>
      </c>
      <c r="H7" s="3" t="s">
        <v>27</v>
      </c>
      <c r="I7" s="3" t="s">
        <v>28</v>
      </c>
      <c r="J7" s="3" t="s">
        <v>52</v>
      </c>
    </row>
    <row r="8" spans="1:10" ht="28.05" customHeight="1" x14ac:dyDescent="0.6">
      <c r="A8" s="3" t="s">
        <v>353</v>
      </c>
      <c r="B8" s="3" t="s">
        <v>40</v>
      </c>
      <c r="C8" s="3" t="s">
        <v>41</v>
      </c>
      <c r="D8" s="3" t="s">
        <v>42</v>
      </c>
      <c r="E8" s="3" t="s">
        <v>43</v>
      </c>
      <c r="F8" s="3" t="s">
        <v>44</v>
      </c>
      <c r="G8" s="3" t="s">
        <v>17</v>
      </c>
      <c r="H8" s="3" t="s">
        <v>45</v>
      </c>
      <c r="I8" s="3" t="s">
        <v>28</v>
      </c>
      <c r="J8" s="3" t="s">
        <v>46</v>
      </c>
    </row>
    <row r="10" spans="1:10" ht="20" customHeight="1" x14ac:dyDescent="0.6">
      <c r="A10" s="23" t="s">
        <v>61</v>
      </c>
      <c r="B10" s="24"/>
      <c r="C10" s="24"/>
      <c r="D10" s="24"/>
      <c r="E10" s="24"/>
      <c r="F10" s="24"/>
      <c r="G10" s="24"/>
      <c r="H10" s="24"/>
      <c r="I10" s="24"/>
      <c r="J10" s="24"/>
    </row>
  </sheetData>
  <mergeCells count="2">
    <mergeCell ref="A1:J1"/>
    <mergeCell ref="A10:J10"/>
  </mergeCells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showGridLines="0" workbookViewId="0">
      <selection sqref="A1:J1"/>
    </sheetView>
  </sheetViews>
  <sheetFormatPr defaultRowHeight="16.899999999999999" x14ac:dyDescent="0.6"/>
  <cols>
    <col min="1" max="1" width="8" customWidth="1"/>
    <col min="2" max="2" width="14" customWidth="1"/>
    <col min="3" max="3" width="30" customWidth="1"/>
    <col min="4" max="5" width="12" customWidth="1"/>
    <col min="6" max="6" width="14" customWidth="1"/>
    <col min="7" max="8" width="12" customWidth="1"/>
    <col min="9" max="9" width="20" customWidth="1"/>
    <col min="10" max="10" width="28" customWidth="1"/>
  </cols>
  <sheetData>
    <row r="1" spans="1:10" ht="26" customHeight="1" x14ac:dyDescent="0.6">
      <c r="A1" s="25" t="s">
        <v>62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22.05" customHeight="1" x14ac:dyDescent="0.6">
      <c r="A2" s="32" t="s">
        <v>63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ht="22.05" customHeight="1" x14ac:dyDescent="0.6">
      <c r="A3" s="29" t="s">
        <v>64</v>
      </c>
      <c r="B3" s="24"/>
      <c r="C3" s="24"/>
      <c r="D3" s="24"/>
      <c r="E3" s="24"/>
      <c r="F3" s="24"/>
      <c r="G3" s="24"/>
      <c r="H3" s="24"/>
      <c r="I3" s="24"/>
      <c r="J3" s="24"/>
    </row>
    <row r="4" spans="1:10" ht="22.05" customHeight="1" x14ac:dyDescent="0.6">
      <c r="A4" s="30" t="s">
        <v>65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ht="22.05" customHeight="1" x14ac:dyDescent="0.6">
      <c r="A5" s="26" t="s">
        <v>66</v>
      </c>
      <c r="B5" s="24"/>
      <c r="C5" s="24"/>
      <c r="D5" s="24"/>
      <c r="E5" s="24"/>
      <c r="F5" s="24"/>
      <c r="G5" s="24"/>
      <c r="H5" s="24"/>
      <c r="I5" s="24"/>
      <c r="J5" s="24"/>
    </row>
    <row r="7" spans="1:10" ht="22.05" customHeight="1" x14ac:dyDescent="0.6">
      <c r="A7" s="31" t="s">
        <v>67</v>
      </c>
      <c r="B7" s="22"/>
      <c r="C7" s="22"/>
      <c r="D7" s="22"/>
      <c r="E7" s="22"/>
      <c r="F7" s="22"/>
      <c r="G7" s="24"/>
      <c r="H7" s="24"/>
      <c r="I7" s="24"/>
      <c r="J7" s="24"/>
    </row>
    <row r="8" spans="1:10" ht="31.5" x14ac:dyDescent="0.6">
      <c r="A8" s="2" t="s">
        <v>68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</row>
    <row r="9" spans="1:10" ht="30" customHeight="1" x14ac:dyDescent="0.6">
      <c r="A9" s="4" t="s">
        <v>74</v>
      </c>
      <c r="B9" s="5">
        <v>1</v>
      </c>
      <c r="C9" s="4" t="s">
        <v>75</v>
      </c>
      <c r="D9" s="5">
        <v>2.5</v>
      </c>
      <c r="E9" s="4" t="s">
        <v>76</v>
      </c>
      <c r="F9" s="5">
        <f>D9/SUM($D$9:$D$13)*100</f>
        <v>27.777777777777779</v>
      </c>
    </row>
    <row r="10" spans="1:10" ht="30" customHeight="1" x14ac:dyDescent="0.6">
      <c r="A10" s="6" t="s">
        <v>77</v>
      </c>
      <c r="B10" s="7">
        <v>2</v>
      </c>
      <c r="C10" s="6" t="s">
        <v>78</v>
      </c>
      <c r="D10" s="7">
        <v>1.5</v>
      </c>
      <c r="E10" s="6" t="s">
        <v>79</v>
      </c>
      <c r="F10" s="7">
        <f>D10/SUM($D$9:$D$13)*100</f>
        <v>16.666666666666664</v>
      </c>
    </row>
    <row r="11" spans="1:10" ht="30" customHeight="1" x14ac:dyDescent="0.6">
      <c r="A11" s="6" t="s">
        <v>80</v>
      </c>
      <c r="B11" s="7">
        <v>3</v>
      </c>
      <c r="C11" s="6" t="s">
        <v>81</v>
      </c>
      <c r="D11" s="7">
        <v>1.5</v>
      </c>
      <c r="E11" s="6" t="s">
        <v>82</v>
      </c>
      <c r="F11" s="7">
        <f>D11/SUM($D$9:$D$13)*100</f>
        <v>16.666666666666664</v>
      </c>
    </row>
    <row r="12" spans="1:10" ht="30" customHeight="1" x14ac:dyDescent="0.6">
      <c r="A12" s="6" t="s">
        <v>83</v>
      </c>
      <c r="B12" s="7">
        <v>4</v>
      </c>
      <c r="C12" s="6" t="s">
        <v>84</v>
      </c>
      <c r="D12" s="7">
        <v>1</v>
      </c>
      <c r="E12" s="6" t="s">
        <v>85</v>
      </c>
      <c r="F12" s="7">
        <f>D12/SUM($D$9:$D$13)*100</f>
        <v>11.111111111111111</v>
      </c>
    </row>
    <row r="13" spans="1:10" ht="30" customHeight="1" x14ac:dyDescent="0.6">
      <c r="A13" s="4" t="s">
        <v>86</v>
      </c>
      <c r="B13" s="5">
        <v>5</v>
      </c>
      <c r="C13" s="4" t="s">
        <v>87</v>
      </c>
      <c r="D13" s="5">
        <v>2.5</v>
      </c>
      <c r="E13" s="4" t="s">
        <v>88</v>
      </c>
      <c r="F13" s="5">
        <f>D13/SUM($D$9:$D$13)*100</f>
        <v>27.777777777777779</v>
      </c>
    </row>
    <row r="14" spans="1:10" x14ac:dyDescent="0.6">
      <c r="A14" s="8" t="s">
        <v>89</v>
      </c>
      <c r="B14" s="1"/>
      <c r="C14" s="1"/>
      <c r="D14" s="8">
        <f>SUM(D9:D13)</f>
        <v>9</v>
      </c>
      <c r="E14" s="1"/>
      <c r="F14" s="8">
        <f>SUM(F9:F13)</f>
        <v>100</v>
      </c>
    </row>
    <row r="16" spans="1:10" ht="22.05" customHeight="1" x14ac:dyDescent="0.6">
      <c r="A16" s="28" t="s">
        <v>90</v>
      </c>
      <c r="B16" s="24"/>
      <c r="C16" s="24"/>
      <c r="D16" s="24"/>
      <c r="E16" s="24"/>
      <c r="F16" s="24"/>
      <c r="G16" s="24"/>
      <c r="H16" s="24"/>
      <c r="I16" s="24"/>
      <c r="J16" s="24"/>
    </row>
    <row r="17" spans="1:10" ht="39.4" x14ac:dyDescent="0.6">
      <c r="A17" s="9" t="s">
        <v>91</v>
      </c>
      <c r="B17" s="2" t="s">
        <v>92</v>
      </c>
      <c r="C17" s="2" t="s">
        <v>93</v>
      </c>
      <c r="D17" s="2" t="s">
        <v>94</v>
      </c>
      <c r="E17" s="2" t="s">
        <v>95</v>
      </c>
      <c r="F17" s="2" t="s">
        <v>96</v>
      </c>
    </row>
    <row r="18" spans="1:10" ht="22.05" customHeight="1" x14ac:dyDescent="0.6">
      <c r="A18" s="10" t="s">
        <v>74</v>
      </c>
      <c r="B18" s="11">
        <v>27.8</v>
      </c>
      <c r="C18" s="12">
        <v>13.9</v>
      </c>
      <c r="D18" s="13">
        <v>0</v>
      </c>
      <c r="E18" s="13">
        <v>0</v>
      </c>
      <c r="F18" s="13">
        <v>0</v>
      </c>
    </row>
    <row r="19" spans="1:10" ht="22.05" customHeight="1" x14ac:dyDescent="0.6">
      <c r="A19" s="10" t="s">
        <v>77</v>
      </c>
      <c r="B19" s="12">
        <v>8.3000000000000007</v>
      </c>
      <c r="C19" s="11">
        <v>16.7</v>
      </c>
      <c r="D19" s="12">
        <v>8.3000000000000007</v>
      </c>
      <c r="E19" s="13">
        <v>0</v>
      </c>
      <c r="F19" s="13">
        <v>0</v>
      </c>
    </row>
    <row r="20" spans="1:10" ht="22.05" customHeight="1" x14ac:dyDescent="0.6">
      <c r="A20" s="10" t="s">
        <v>80</v>
      </c>
      <c r="B20" s="13">
        <v>0</v>
      </c>
      <c r="C20" s="12">
        <v>8.3000000000000007</v>
      </c>
      <c r="D20" s="11">
        <v>16.7</v>
      </c>
      <c r="E20" s="12">
        <v>8.3000000000000007</v>
      </c>
      <c r="F20" s="13">
        <v>0</v>
      </c>
    </row>
    <row r="21" spans="1:10" ht="22.05" customHeight="1" x14ac:dyDescent="0.6">
      <c r="A21" s="10" t="s">
        <v>83</v>
      </c>
      <c r="B21" s="13">
        <v>0</v>
      </c>
      <c r="C21" s="13">
        <v>0</v>
      </c>
      <c r="D21" s="12">
        <v>5.5</v>
      </c>
      <c r="E21" s="11">
        <v>11.1</v>
      </c>
      <c r="F21" s="12">
        <v>5.5</v>
      </c>
    </row>
    <row r="22" spans="1:10" ht="22.05" customHeight="1" x14ac:dyDescent="0.6">
      <c r="A22" s="10" t="s">
        <v>86</v>
      </c>
      <c r="B22" s="13">
        <v>0</v>
      </c>
      <c r="C22" s="13">
        <v>0</v>
      </c>
      <c r="D22" s="13">
        <v>0</v>
      </c>
      <c r="E22" s="12">
        <v>13.9</v>
      </c>
      <c r="F22" s="11">
        <v>27.8</v>
      </c>
    </row>
    <row r="24" spans="1:10" ht="22.05" customHeight="1" x14ac:dyDescent="0.6">
      <c r="A24" s="31" t="s">
        <v>97</v>
      </c>
      <c r="B24" s="22"/>
      <c r="C24" s="22"/>
      <c r="D24" s="22"/>
      <c r="E24" s="24"/>
      <c r="F24" s="24"/>
      <c r="G24" s="24"/>
      <c r="H24" s="24"/>
      <c r="I24" s="24"/>
      <c r="J24" s="24"/>
    </row>
    <row r="25" spans="1:10" ht="47.25" x14ac:dyDescent="0.6">
      <c r="A25" s="14" t="s">
        <v>98</v>
      </c>
      <c r="B25" s="14" t="s">
        <v>99</v>
      </c>
      <c r="C25" s="14" t="s">
        <v>100</v>
      </c>
      <c r="D25" s="14" t="s">
        <v>101</v>
      </c>
    </row>
    <row r="26" spans="1:10" ht="20" customHeight="1" x14ac:dyDescent="0.6">
      <c r="A26" s="3" t="s">
        <v>102</v>
      </c>
      <c r="B26" s="3" t="s">
        <v>103</v>
      </c>
      <c r="C26" s="15">
        <v>100</v>
      </c>
      <c r="D26" s="3" t="s">
        <v>104</v>
      </c>
    </row>
    <row r="27" spans="1:10" ht="20" customHeight="1" x14ac:dyDescent="0.6">
      <c r="A27" s="3" t="s">
        <v>105</v>
      </c>
      <c r="B27" s="3" t="s">
        <v>106</v>
      </c>
      <c r="C27" s="16">
        <v>80</v>
      </c>
      <c r="D27" s="3" t="s">
        <v>107</v>
      </c>
    </row>
    <row r="28" spans="1:10" ht="20" customHeight="1" x14ac:dyDescent="0.6">
      <c r="A28" s="3" t="s">
        <v>108</v>
      </c>
      <c r="B28" s="3" t="s">
        <v>109</v>
      </c>
      <c r="C28" s="17">
        <v>55</v>
      </c>
      <c r="D28" s="3" t="s">
        <v>110</v>
      </c>
    </row>
    <row r="29" spans="1:10" ht="20" customHeight="1" x14ac:dyDescent="0.6">
      <c r="A29" s="3" t="s">
        <v>111</v>
      </c>
      <c r="B29" s="3" t="s">
        <v>112</v>
      </c>
      <c r="C29" s="17">
        <v>30</v>
      </c>
      <c r="D29" s="3" t="s">
        <v>113</v>
      </c>
    </row>
    <row r="31" spans="1:10" ht="24" customHeight="1" x14ac:dyDescent="0.6">
      <c r="A31" s="27" t="s">
        <v>114</v>
      </c>
      <c r="B31" s="22"/>
      <c r="C31" s="22"/>
      <c r="D31" s="22"/>
      <c r="E31" s="22"/>
      <c r="F31" s="22"/>
      <c r="G31" s="22"/>
      <c r="H31" s="22"/>
      <c r="I31" s="22"/>
      <c r="J31" s="22"/>
    </row>
  </sheetData>
  <mergeCells count="9">
    <mergeCell ref="A1:J1"/>
    <mergeCell ref="A5:J5"/>
    <mergeCell ref="A31:J31"/>
    <mergeCell ref="A16:J16"/>
    <mergeCell ref="A3:J3"/>
    <mergeCell ref="A4:J4"/>
    <mergeCell ref="A7:J7"/>
    <mergeCell ref="A24:J24"/>
    <mergeCell ref="A2:J2"/>
  </mergeCells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showGridLines="0" workbookViewId="0"/>
  </sheetViews>
  <sheetFormatPr defaultRowHeight="16.899999999999999" x14ac:dyDescent="0.6"/>
  <cols>
    <col min="1" max="1" width="8" customWidth="1"/>
    <col min="2" max="2" width="20" customWidth="1"/>
    <col min="3" max="3" width="36" customWidth="1"/>
    <col min="4" max="4" width="12" customWidth="1"/>
    <col min="5" max="5" width="20" customWidth="1"/>
    <col min="6" max="6" width="14" customWidth="1"/>
    <col min="7" max="8" width="24" customWidth="1"/>
    <col min="9" max="9" width="22" customWidth="1"/>
  </cols>
  <sheetData>
    <row r="1" spans="1:9" ht="26" customHeight="1" x14ac:dyDescent="0.6">
      <c r="A1" s="33" t="s">
        <v>115</v>
      </c>
      <c r="B1" s="22"/>
      <c r="C1" s="22"/>
      <c r="D1" s="22"/>
      <c r="E1" s="22"/>
      <c r="F1" s="22"/>
      <c r="G1" s="22"/>
      <c r="H1" s="22"/>
      <c r="I1" s="22"/>
    </row>
    <row r="2" spans="1:9" x14ac:dyDescent="0.6">
      <c r="A2" s="35" t="s">
        <v>116</v>
      </c>
      <c r="B2" s="22"/>
      <c r="C2" s="22"/>
      <c r="D2" s="22"/>
      <c r="E2" s="22"/>
      <c r="F2" s="22"/>
      <c r="G2" s="22"/>
      <c r="H2" s="22"/>
      <c r="I2" s="22"/>
    </row>
    <row r="3" spans="1:9" x14ac:dyDescent="0.6">
      <c r="A3" s="34" t="s">
        <v>117</v>
      </c>
      <c r="B3" s="22"/>
      <c r="C3" s="22"/>
      <c r="D3" s="22"/>
      <c r="E3" s="22"/>
      <c r="F3" s="22"/>
      <c r="G3" s="22"/>
      <c r="H3" s="22"/>
      <c r="I3" s="22"/>
    </row>
    <row r="4" spans="1:9" x14ac:dyDescent="0.6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6">
      <c r="A5" s="2" t="s">
        <v>118</v>
      </c>
      <c r="B5" s="2" t="s">
        <v>119</v>
      </c>
      <c r="C5" s="2" t="s">
        <v>120</v>
      </c>
      <c r="D5" s="2" t="s">
        <v>121</v>
      </c>
      <c r="E5" s="2" t="s">
        <v>100</v>
      </c>
      <c r="F5" s="2" t="s">
        <v>70</v>
      </c>
      <c r="G5" s="2" t="s">
        <v>122</v>
      </c>
      <c r="H5" s="2" t="s">
        <v>123</v>
      </c>
      <c r="I5" s="2" t="s">
        <v>8</v>
      </c>
    </row>
    <row r="6" spans="1:9" ht="36" customHeight="1" x14ac:dyDescent="0.6">
      <c r="A6" s="15" t="s">
        <v>124</v>
      </c>
      <c r="B6" s="4" t="s">
        <v>125</v>
      </c>
      <c r="C6" s="4" t="s">
        <v>126</v>
      </c>
      <c r="D6" s="15" t="s">
        <v>127</v>
      </c>
      <c r="E6" s="15">
        <v>100</v>
      </c>
      <c r="F6" s="4" t="s">
        <v>23</v>
      </c>
      <c r="G6" s="4" t="s">
        <v>128</v>
      </c>
      <c r="H6" s="4" t="s">
        <v>128</v>
      </c>
      <c r="I6" s="4" t="s">
        <v>27</v>
      </c>
    </row>
    <row r="7" spans="1:9" ht="36" customHeight="1" x14ac:dyDescent="0.6">
      <c r="A7" s="18" t="s">
        <v>129</v>
      </c>
      <c r="B7" s="3" t="s">
        <v>77</v>
      </c>
      <c r="C7" s="3" t="s">
        <v>130</v>
      </c>
      <c r="D7" s="18" t="s">
        <v>131</v>
      </c>
      <c r="E7" s="18">
        <v>20</v>
      </c>
      <c r="F7" s="3" t="s">
        <v>32</v>
      </c>
      <c r="G7" s="3" t="s">
        <v>132</v>
      </c>
      <c r="H7" s="3" t="s">
        <v>133</v>
      </c>
      <c r="I7" s="3" t="s">
        <v>36</v>
      </c>
    </row>
    <row r="8" spans="1:9" ht="36" customHeight="1" x14ac:dyDescent="0.6">
      <c r="A8" s="16" t="s">
        <v>134</v>
      </c>
      <c r="B8" s="3" t="s">
        <v>83</v>
      </c>
      <c r="C8" s="3" t="s">
        <v>135</v>
      </c>
      <c r="D8" s="16" t="s">
        <v>131</v>
      </c>
      <c r="E8" s="16">
        <v>30</v>
      </c>
      <c r="F8" s="3" t="s">
        <v>136</v>
      </c>
      <c r="G8" s="3" t="s">
        <v>137</v>
      </c>
      <c r="H8" s="3" t="s">
        <v>138</v>
      </c>
      <c r="I8" s="3" t="s">
        <v>139</v>
      </c>
    </row>
    <row r="9" spans="1:9" ht="36" customHeight="1" x14ac:dyDescent="0.6">
      <c r="A9" s="17" t="s">
        <v>140</v>
      </c>
      <c r="B9" s="3" t="s">
        <v>141</v>
      </c>
      <c r="C9" s="3" t="s">
        <v>142</v>
      </c>
      <c r="D9" s="17" t="s">
        <v>131</v>
      </c>
      <c r="E9" s="17">
        <v>0</v>
      </c>
      <c r="F9" s="3" t="s">
        <v>143</v>
      </c>
      <c r="G9" s="3" t="s">
        <v>144</v>
      </c>
      <c r="H9" s="3" t="s">
        <v>145</v>
      </c>
      <c r="I9" s="3" t="s">
        <v>146</v>
      </c>
    </row>
    <row r="11" spans="1:9" ht="22.05" customHeight="1" x14ac:dyDescent="0.6">
      <c r="A11" s="27" t="s">
        <v>147</v>
      </c>
      <c r="B11" s="22"/>
      <c r="C11" s="22"/>
      <c r="D11" s="22"/>
      <c r="E11" s="22"/>
      <c r="F11" s="22"/>
      <c r="G11" s="22"/>
      <c r="H11" s="22"/>
      <c r="I11" s="22"/>
    </row>
  </sheetData>
  <mergeCells count="4">
    <mergeCell ref="A1:I1"/>
    <mergeCell ref="A3:I3"/>
    <mergeCell ref="A2:I2"/>
    <mergeCell ref="A11:I11"/>
  </mergeCells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"/>
  <sheetViews>
    <sheetView showGridLines="0" workbookViewId="0"/>
  </sheetViews>
  <sheetFormatPr defaultRowHeight="16.899999999999999" x14ac:dyDescent="0.6"/>
  <cols>
    <col min="1" max="1" width="6" customWidth="1"/>
    <col min="2" max="3" width="18" customWidth="1"/>
    <col min="4" max="6" width="14" customWidth="1"/>
    <col min="7" max="7" width="18" customWidth="1"/>
    <col min="8" max="8" width="22" customWidth="1"/>
    <col min="9" max="9" width="24" customWidth="1"/>
  </cols>
  <sheetData>
    <row r="1" spans="1:9" ht="26" customHeight="1" x14ac:dyDescent="0.6">
      <c r="A1" s="25" t="s">
        <v>148</v>
      </c>
      <c r="B1" s="24"/>
      <c r="C1" s="24"/>
      <c r="D1" s="24"/>
      <c r="E1" s="24"/>
      <c r="F1" s="24"/>
      <c r="G1" s="24"/>
      <c r="H1" s="24"/>
      <c r="I1" s="24"/>
    </row>
    <row r="2" spans="1:9" ht="22.05" customHeight="1" x14ac:dyDescent="0.6">
      <c r="A2" s="32" t="s">
        <v>149</v>
      </c>
      <c r="B2" s="24"/>
      <c r="C2" s="24"/>
      <c r="D2" s="24"/>
      <c r="E2" s="24"/>
      <c r="F2" s="24"/>
      <c r="G2" s="24"/>
      <c r="H2" s="24"/>
      <c r="I2" s="24"/>
    </row>
    <row r="3" spans="1:9" ht="22.05" customHeight="1" x14ac:dyDescent="0.6">
      <c r="A3" s="29" t="s">
        <v>150</v>
      </c>
      <c r="B3" s="24"/>
      <c r="C3" s="24"/>
      <c r="D3" s="24"/>
      <c r="E3" s="24"/>
      <c r="F3" s="24"/>
      <c r="G3" s="24"/>
      <c r="H3" s="24"/>
      <c r="I3" s="24"/>
    </row>
    <row r="4" spans="1:9" ht="22.05" customHeight="1" x14ac:dyDescent="0.6">
      <c r="A4" s="26" t="s">
        <v>151</v>
      </c>
      <c r="B4" s="24"/>
      <c r="C4" s="24"/>
      <c r="D4" s="24"/>
      <c r="E4" s="24"/>
      <c r="F4" s="24"/>
      <c r="G4" s="24"/>
      <c r="H4" s="24"/>
      <c r="I4" s="24"/>
    </row>
    <row r="6" spans="1:9" ht="22.05" customHeight="1" x14ac:dyDescent="0.6">
      <c r="A6" s="31" t="s">
        <v>152</v>
      </c>
      <c r="B6" s="22"/>
      <c r="C6" s="22"/>
      <c r="D6" s="22"/>
      <c r="E6" s="22"/>
      <c r="F6" s="22"/>
      <c r="G6" s="22"/>
      <c r="H6" s="24"/>
      <c r="I6" s="24"/>
    </row>
    <row r="7" spans="1:9" ht="31.5" x14ac:dyDescent="0.6">
      <c r="A7" s="2" t="s">
        <v>153</v>
      </c>
      <c r="B7" s="2" t="s">
        <v>69</v>
      </c>
      <c r="C7" s="2" t="s">
        <v>154</v>
      </c>
      <c r="D7" s="2" t="s">
        <v>155</v>
      </c>
      <c r="E7" s="2" t="s">
        <v>72</v>
      </c>
      <c r="F7" s="2" t="s">
        <v>73</v>
      </c>
      <c r="G7" s="2" t="s">
        <v>156</v>
      </c>
    </row>
    <row r="8" spans="1:9" ht="30" customHeight="1" x14ac:dyDescent="0.6">
      <c r="A8" s="4" t="s">
        <v>157</v>
      </c>
      <c r="B8" s="19">
        <v>1</v>
      </c>
      <c r="C8" s="4" t="s">
        <v>158</v>
      </c>
      <c r="D8" s="19">
        <v>2</v>
      </c>
      <c r="E8" s="3" t="s">
        <v>159</v>
      </c>
      <c r="F8" s="7">
        <f>D8/SUM($D$8:$D$12)*100</f>
        <v>22.222222222222221</v>
      </c>
      <c r="G8" s="19">
        <f>F8</f>
        <v>22.222222222222221</v>
      </c>
    </row>
    <row r="9" spans="1:9" ht="30" customHeight="1" x14ac:dyDescent="0.6">
      <c r="A9" s="4" t="s">
        <v>160</v>
      </c>
      <c r="B9" s="19">
        <v>2</v>
      </c>
      <c r="C9" s="4" t="s">
        <v>161</v>
      </c>
      <c r="D9" s="19">
        <v>1.5</v>
      </c>
      <c r="E9" s="3" t="s">
        <v>162</v>
      </c>
      <c r="F9" s="7">
        <f>D9/SUM($D$8:$D$12)*100</f>
        <v>16.666666666666664</v>
      </c>
      <c r="G9" s="19">
        <f>F8+F9</f>
        <v>38.888888888888886</v>
      </c>
    </row>
    <row r="10" spans="1:9" ht="30" customHeight="1" x14ac:dyDescent="0.6">
      <c r="A10" s="4" t="s">
        <v>163</v>
      </c>
      <c r="B10" s="19">
        <v>3</v>
      </c>
      <c r="C10" s="4" t="s">
        <v>164</v>
      </c>
      <c r="D10" s="19">
        <v>2</v>
      </c>
      <c r="E10" s="3" t="s">
        <v>165</v>
      </c>
      <c r="F10" s="7">
        <f>D10/SUM($D$8:$D$12)*100</f>
        <v>22.222222222222221</v>
      </c>
      <c r="G10" s="19">
        <f>F8+F9+F10</f>
        <v>61.111111111111107</v>
      </c>
    </row>
    <row r="11" spans="1:9" ht="30" customHeight="1" x14ac:dyDescent="0.6">
      <c r="A11" s="4" t="s">
        <v>166</v>
      </c>
      <c r="B11" s="19">
        <v>4</v>
      </c>
      <c r="C11" s="4" t="s">
        <v>167</v>
      </c>
      <c r="D11" s="19">
        <v>1.5</v>
      </c>
      <c r="E11" s="3" t="s">
        <v>168</v>
      </c>
      <c r="F11" s="7">
        <f>D11/SUM($D$8:$D$12)*100</f>
        <v>16.666666666666664</v>
      </c>
      <c r="G11" s="19">
        <f>F8+F9+F10+F11</f>
        <v>77.777777777777771</v>
      </c>
    </row>
    <row r="12" spans="1:9" ht="30" customHeight="1" x14ac:dyDescent="0.6">
      <c r="A12" s="4" t="s">
        <v>169</v>
      </c>
      <c r="B12" s="19">
        <v>5</v>
      </c>
      <c r="C12" s="4" t="s">
        <v>170</v>
      </c>
      <c r="D12" s="19">
        <v>2</v>
      </c>
      <c r="E12" s="3" t="s">
        <v>171</v>
      </c>
      <c r="F12" s="7">
        <f>D12/SUM($D$8:$D$12)*100</f>
        <v>22.222222222222221</v>
      </c>
      <c r="G12" s="19">
        <f>SUM(F8:F12)</f>
        <v>100</v>
      </c>
    </row>
    <row r="13" spans="1:9" x14ac:dyDescent="0.6">
      <c r="A13" s="8" t="s">
        <v>89</v>
      </c>
      <c r="B13" s="1"/>
      <c r="C13" s="1"/>
      <c r="D13" s="8">
        <f>SUM(D8:D12)</f>
        <v>9</v>
      </c>
      <c r="E13" s="1"/>
      <c r="F13" s="8">
        <f>SUM(F8:F12)</f>
        <v>100</v>
      </c>
      <c r="G13" s="8" t="s">
        <v>172</v>
      </c>
    </row>
    <row r="15" spans="1:9" ht="22.05" customHeight="1" x14ac:dyDescent="0.6">
      <c r="A15" s="31" t="s">
        <v>173</v>
      </c>
      <c r="B15" s="22"/>
      <c r="C15" s="22"/>
      <c r="D15" s="22"/>
      <c r="E15" s="24"/>
      <c r="F15" s="24"/>
      <c r="G15" s="24"/>
      <c r="H15" s="24"/>
      <c r="I15" s="24"/>
    </row>
    <row r="16" spans="1:9" ht="63" x14ac:dyDescent="0.6">
      <c r="A16" s="14" t="s">
        <v>174</v>
      </c>
      <c r="B16" s="14" t="s">
        <v>175</v>
      </c>
      <c r="C16" s="14" t="s">
        <v>100</v>
      </c>
      <c r="D16" s="14" t="s">
        <v>123</v>
      </c>
    </row>
    <row r="17" spans="1:9" ht="22.05" customHeight="1" x14ac:dyDescent="0.6">
      <c r="A17" s="3" t="s">
        <v>35</v>
      </c>
      <c r="B17" s="3" t="s">
        <v>176</v>
      </c>
      <c r="C17" s="15">
        <v>100</v>
      </c>
      <c r="D17" s="3" t="s">
        <v>128</v>
      </c>
    </row>
    <row r="18" spans="1:9" ht="22.05" customHeight="1" x14ac:dyDescent="0.6">
      <c r="A18" s="3" t="s">
        <v>177</v>
      </c>
      <c r="B18" s="3" t="s">
        <v>178</v>
      </c>
      <c r="C18" s="16">
        <v>73</v>
      </c>
      <c r="D18" s="3" t="s">
        <v>179</v>
      </c>
    </row>
    <row r="19" spans="1:9" ht="22.05" customHeight="1" x14ac:dyDescent="0.6">
      <c r="A19" s="3" t="s">
        <v>180</v>
      </c>
      <c r="B19" s="3" t="s">
        <v>181</v>
      </c>
      <c r="C19" s="16">
        <v>60</v>
      </c>
      <c r="D19" s="3" t="s">
        <v>182</v>
      </c>
    </row>
    <row r="20" spans="1:9" ht="22.05" customHeight="1" x14ac:dyDescent="0.6">
      <c r="A20" s="3" t="s">
        <v>183</v>
      </c>
      <c r="B20" s="3" t="s">
        <v>184</v>
      </c>
      <c r="C20" s="17">
        <v>35</v>
      </c>
      <c r="D20" s="3" t="s">
        <v>185</v>
      </c>
    </row>
    <row r="21" spans="1:9" ht="22.05" customHeight="1" x14ac:dyDescent="0.6">
      <c r="A21" s="3" t="s">
        <v>186</v>
      </c>
      <c r="B21" s="3" t="s">
        <v>187</v>
      </c>
      <c r="C21" s="17">
        <v>0</v>
      </c>
      <c r="D21" s="3" t="s">
        <v>188</v>
      </c>
    </row>
    <row r="23" spans="1:9" ht="22.05" customHeight="1" x14ac:dyDescent="0.6">
      <c r="A23" s="27" t="s">
        <v>189</v>
      </c>
      <c r="B23" s="22"/>
      <c r="C23" s="22"/>
      <c r="D23" s="22"/>
      <c r="E23" s="22"/>
      <c r="F23" s="22"/>
      <c r="G23" s="22"/>
      <c r="H23" s="22"/>
      <c r="I23" s="22"/>
    </row>
  </sheetData>
  <mergeCells count="7">
    <mergeCell ref="A15:I15"/>
    <mergeCell ref="A2:I2"/>
    <mergeCell ref="A1:I1"/>
    <mergeCell ref="A23:I23"/>
    <mergeCell ref="A3:I3"/>
    <mergeCell ref="A6:I6"/>
    <mergeCell ref="A4:I4"/>
  </mergeCells>
  <phoneticPr fontId="1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"/>
  <sheetViews>
    <sheetView showGridLines="0" workbookViewId="0">
      <selection activeCell="E19" sqref="E19"/>
    </sheetView>
  </sheetViews>
  <sheetFormatPr defaultRowHeight="16.899999999999999" x14ac:dyDescent="0.6"/>
  <cols>
    <col min="1" max="1" width="8" customWidth="1"/>
    <col min="2" max="2" width="36" customWidth="1"/>
    <col min="3" max="3" width="12" customWidth="1"/>
    <col min="4" max="5" width="20" customWidth="1"/>
    <col min="6" max="7" width="24" customWidth="1"/>
    <col min="8" max="8" width="22" customWidth="1"/>
    <col min="9" max="9" width="20" customWidth="1"/>
  </cols>
  <sheetData>
    <row r="1" spans="1:9" ht="26" customHeight="1" x14ac:dyDescent="0.6">
      <c r="A1" s="33" t="s">
        <v>351</v>
      </c>
      <c r="B1" s="22"/>
      <c r="C1" s="22"/>
      <c r="D1" s="22"/>
      <c r="E1" s="22"/>
      <c r="F1" s="22"/>
      <c r="G1" s="22"/>
      <c r="H1" s="22"/>
      <c r="I1" s="22"/>
    </row>
    <row r="2" spans="1:9" x14ac:dyDescent="0.6">
      <c r="A2" s="35" t="s">
        <v>230</v>
      </c>
      <c r="B2" s="22"/>
      <c r="C2" s="22"/>
      <c r="D2" s="22"/>
      <c r="E2" s="22"/>
      <c r="F2" s="22"/>
      <c r="G2" s="22"/>
      <c r="H2" s="22"/>
      <c r="I2" s="22"/>
    </row>
    <row r="3" spans="1:9" ht="22.05" customHeight="1" x14ac:dyDescent="0.6">
      <c r="A3" s="36" t="s">
        <v>231</v>
      </c>
      <c r="B3" s="22"/>
      <c r="C3" s="22"/>
      <c r="D3" s="22"/>
      <c r="E3" s="22"/>
      <c r="F3" s="22"/>
      <c r="G3" s="22"/>
      <c r="H3" s="22"/>
      <c r="I3" s="22"/>
    </row>
    <row r="4" spans="1:9" x14ac:dyDescent="0.6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6">
      <c r="A5" s="2" t="s">
        <v>118</v>
      </c>
      <c r="B5" s="2" t="s">
        <v>191</v>
      </c>
      <c r="C5" s="2" t="s">
        <v>121</v>
      </c>
      <c r="D5" s="2" t="s">
        <v>100</v>
      </c>
      <c r="E5" s="2" t="s">
        <v>70</v>
      </c>
      <c r="F5" s="2" t="s">
        <v>192</v>
      </c>
      <c r="G5" s="2" t="s">
        <v>122</v>
      </c>
      <c r="H5" s="2" t="s">
        <v>123</v>
      </c>
      <c r="I5" s="2" t="s">
        <v>8</v>
      </c>
    </row>
    <row r="6" spans="1:9" ht="40.049999999999997" customHeight="1" x14ac:dyDescent="0.6">
      <c r="A6" s="17" t="s">
        <v>124</v>
      </c>
      <c r="B6" s="3" t="s">
        <v>232</v>
      </c>
      <c r="C6" s="17" t="s">
        <v>131</v>
      </c>
      <c r="D6" s="17">
        <v>0</v>
      </c>
      <c r="E6" s="3" t="s">
        <v>233</v>
      </c>
      <c r="F6" s="3" t="s">
        <v>234</v>
      </c>
      <c r="G6" s="3" t="s">
        <v>235</v>
      </c>
      <c r="H6" s="3" t="s">
        <v>236</v>
      </c>
      <c r="I6" s="3" t="s">
        <v>237</v>
      </c>
    </row>
    <row r="7" spans="1:9" ht="40.049999999999997" customHeight="1" x14ac:dyDescent="0.6">
      <c r="A7" s="15" t="s">
        <v>129</v>
      </c>
      <c r="B7" s="3" t="s">
        <v>238</v>
      </c>
      <c r="C7" s="15" t="s">
        <v>127</v>
      </c>
      <c r="D7" s="15">
        <v>100</v>
      </c>
      <c r="E7" s="3" t="s">
        <v>55</v>
      </c>
      <c r="F7" s="3" t="s">
        <v>205</v>
      </c>
      <c r="G7" s="3" t="s">
        <v>239</v>
      </c>
      <c r="H7" s="3" t="s">
        <v>128</v>
      </c>
      <c r="I7" s="3" t="s">
        <v>59</v>
      </c>
    </row>
    <row r="8" spans="1:9" ht="40.049999999999997" customHeight="1" x14ac:dyDescent="0.6">
      <c r="A8" s="16" t="s">
        <v>134</v>
      </c>
      <c r="B8" s="3" t="s">
        <v>240</v>
      </c>
      <c r="C8" s="16" t="s">
        <v>131</v>
      </c>
      <c r="D8" s="16">
        <v>40</v>
      </c>
      <c r="E8" s="3" t="s">
        <v>241</v>
      </c>
      <c r="F8" s="3" t="s">
        <v>242</v>
      </c>
      <c r="G8" s="3" t="s">
        <v>243</v>
      </c>
      <c r="H8" s="3" t="s">
        <v>244</v>
      </c>
      <c r="I8" s="3" t="s">
        <v>59</v>
      </c>
    </row>
    <row r="9" spans="1:9" ht="40.049999999999997" customHeight="1" x14ac:dyDescent="0.6">
      <c r="A9" s="18" t="s">
        <v>140</v>
      </c>
      <c r="B9" s="3" t="s">
        <v>245</v>
      </c>
      <c r="C9" s="18" t="s">
        <v>131</v>
      </c>
      <c r="D9" s="18">
        <v>20</v>
      </c>
      <c r="E9" s="3" t="s">
        <v>246</v>
      </c>
      <c r="F9" s="3" t="s">
        <v>247</v>
      </c>
      <c r="G9" s="3" t="s">
        <v>248</v>
      </c>
      <c r="H9" s="3" t="s">
        <v>249</v>
      </c>
      <c r="I9" s="3" t="s">
        <v>237</v>
      </c>
    </row>
    <row r="11" spans="1:9" ht="22.05" customHeight="1" x14ac:dyDescent="0.6">
      <c r="A11" s="27" t="s">
        <v>250</v>
      </c>
      <c r="B11" s="22"/>
      <c r="C11" s="22"/>
      <c r="D11" s="22"/>
      <c r="E11" s="22"/>
      <c r="F11" s="22"/>
      <c r="G11" s="22"/>
      <c r="H11" s="22"/>
      <c r="I11" s="22"/>
    </row>
  </sheetData>
  <mergeCells count="4">
    <mergeCell ref="A1:I1"/>
    <mergeCell ref="A3:I3"/>
    <mergeCell ref="A2:I2"/>
    <mergeCell ref="A11:I11"/>
  </mergeCells>
  <phoneticPr fontId="10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"/>
  <sheetViews>
    <sheetView showGridLines="0" workbookViewId="0">
      <selection activeCell="H3" sqref="H1:H1048576"/>
    </sheetView>
  </sheetViews>
  <sheetFormatPr defaultRowHeight="16.899999999999999" x14ac:dyDescent="0.6"/>
  <cols>
    <col min="1" max="1" width="8" customWidth="1"/>
    <col min="2" max="2" width="36" customWidth="1"/>
    <col min="3" max="3" width="12" customWidth="1"/>
    <col min="4" max="5" width="20" customWidth="1"/>
    <col min="6" max="7" width="24" customWidth="1"/>
    <col min="8" max="8" width="22" customWidth="1"/>
    <col min="9" max="9" width="20" customWidth="1"/>
  </cols>
  <sheetData>
    <row r="1" spans="1:9" ht="26" customHeight="1" x14ac:dyDescent="0.6">
      <c r="A1" s="33" t="s">
        <v>212</v>
      </c>
      <c r="B1" s="22"/>
      <c r="C1" s="22"/>
      <c r="D1" s="22"/>
      <c r="E1" s="22"/>
      <c r="F1" s="22"/>
      <c r="G1" s="22"/>
      <c r="H1" s="22"/>
      <c r="I1" s="22"/>
    </row>
    <row r="2" spans="1:9" x14ac:dyDescent="0.6">
      <c r="A2" s="35" t="s">
        <v>213</v>
      </c>
      <c r="B2" s="22"/>
      <c r="C2" s="22"/>
      <c r="D2" s="22"/>
      <c r="E2" s="22"/>
      <c r="F2" s="22"/>
      <c r="G2" s="22"/>
      <c r="H2" s="22"/>
      <c r="I2" s="22"/>
    </row>
    <row r="3" spans="1:9" x14ac:dyDescent="0.6">
      <c r="A3" s="1"/>
      <c r="B3" s="1"/>
      <c r="C3" s="1"/>
      <c r="D3" s="1"/>
      <c r="E3" s="1"/>
      <c r="F3" s="1"/>
      <c r="G3" s="1"/>
      <c r="H3" s="1"/>
      <c r="I3" s="1"/>
    </row>
    <row r="4" spans="1:9" ht="30" customHeight="1" x14ac:dyDescent="0.6">
      <c r="A4" s="2" t="s">
        <v>118</v>
      </c>
      <c r="B4" s="2" t="s">
        <v>191</v>
      </c>
      <c r="C4" s="2" t="s">
        <v>121</v>
      </c>
      <c r="D4" s="2" t="s">
        <v>100</v>
      </c>
      <c r="E4" s="2" t="s">
        <v>70</v>
      </c>
      <c r="F4" s="2" t="s">
        <v>192</v>
      </c>
      <c r="G4" s="2" t="s">
        <v>122</v>
      </c>
      <c r="H4" s="2" t="s">
        <v>123</v>
      </c>
      <c r="I4" s="2" t="s">
        <v>8</v>
      </c>
    </row>
    <row r="5" spans="1:9" ht="36" customHeight="1" x14ac:dyDescent="0.6">
      <c r="A5" s="15" t="s">
        <v>124</v>
      </c>
      <c r="B5" s="3" t="s">
        <v>214</v>
      </c>
      <c r="C5" s="15" t="s">
        <v>127</v>
      </c>
      <c r="D5" s="15">
        <v>100</v>
      </c>
      <c r="E5" s="3" t="s">
        <v>49</v>
      </c>
      <c r="F5" s="3" t="s">
        <v>205</v>
      </c>
      <c r="G5" s="3" t="s">
        <v>128</v>
      </c>
      <c r="H5" s="3" t="s">
        <v>128</v>
      </c>
      <c r="I5" s="3" t="s">
        <v>27</v>
      </c>
    </row>
    <row r="6" spans="1:9" ht="36" customHeight="1" x14ac:dyDescent="0.6">
      <c r="A6" s="16" t="s">
        <v>129</v>
      </c>
      <c r="B6" s="3" t="s">
        <v>215</v>
      </c>
      <c r="C6" s="16" t="s">
        <v>131</v>
      </c>
      <c r="D6" s="16">
        <v>25</v>
      </c>
      <c r="E6" s="3" t="s">
        <v>200</v>
      </c>
      <c r="F6" s="3" t="s">
        <v>216</v>
      </c>
      <c r="G6" s="3" t="s">
        <v>217</v>
      </c>
      <c r="H6" s="3" t="s">
        <v>218</v>
      </c>
      <c r="I6" s="3" t="s">
        <v>198</v>
      </c>
    </row>
    <row r="7" spans="1:9" ht="36" customHeight="1" x14ac:dyDescent="0.6">
      <c r="A7" s="17" t="s">
        <v>134</v>
      </c>
      <c r="B7" s="3" t="s">
        <v>219</v>
      </c>
      <c r="C7" s="17" t="s">
        <v>131</v>
      </c>
      <c r="D7" s="17">
        <v>0</v>
      </c>
      <c r="E7" s="3" t="s">
        <v>220</v>
      </c>
      <c r="F7" s="3" t="s">
        <v>221</v>
      </c>
      <c r="G7" s="3" t="s">
        <v>222</v>
      </c>
      <c r="H7" s="3" t="s">
        <v>223</v>
      </c>
      <c r="I7" s="3" t="s">
        <v>128</v>
      </c>
    </row>
    <row r="8" spans="1:9" ht="36" customHeight="1" x14ac:dyDescent="0.6">
      <c r="A8" s="18" t="s">
        <v>140</v>
      </c>
      <c r="B8" s="3" t="s">
        <v>224</v>
      </c>
      <c r="C8" s="18" t="s">
        <v>131</v>
      </c>
      <c r="D8" s="18">
        <v>15</v>
      </c>
      <c r="E8" s="3" t="s">
        <v>225</v>
      </c>
      <c r="F8" s="3" t="s">
        <v>226</v>
      </c>
      <c r="G8" s="3" t="s">
        <v>227</v>
      </c>
      <c r="H8" s="3" t="s">
        <v>228</v>
      </c>
      <c r="I8" s="3" t="s">
        <v>139</v>
      </c>
    </row>
    <row r="10" spans="1:9" ht="22.05" customHeight="1" x14ac:dyDescent="0.6">
      <c r="A10" s="27" t="s">
        <v>229</v>
      </c>
      <c r="B10" s="22"/>
      <c r="C10" s="22"/>
      <c r="D10" s="22"/>
      <c r="E10" s="22"/>
      <c r="F10" s="22"/>
      <c r="G10" s="22"/>
      <c r="H10" s="22"/>
      <c r="I10" s="22"/>
    </row>
  </sheetData>
  <mergeCells count="3">
    <mergeCell ref="A1:I1"/>
    <mergeCell ref="A2:I2"/>
    <mergeCell ref="A10:I10"/>
  </mergeCells>
  <phoneticPr fontId="10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"/>
  <sheetViews>
    <sheetView showGridLines="0" workbookViewId="0">
      <selection activeCell="F3" sqref="F1:F1048576"/>
    </sheetView>
  </sheetViews>
  <sheetFormatPr defaultRowHeight="16.899999999999999" x14ac:dyDescent="0.6"/>
  <cols>
    <col min="1" max="1" width="8" customWidth="1"/>
    <col min="2" max="2" width="36" customWidth="1"/>
    <col min="3" max="3" width="12" customWidth="1"/>
    <col min="4" max="5" width="20" customWidth="1"/>
    <col min="6" max="7" width="24" customWidth="1"/>
    <col min="8" max="8" width="22" customWidth="1"/>
    <col min="9" max="9" width="20" customWidth="1"/>
  </cols>
  <sheetData>
    <row r="1" spans="1:9" ht="26" customHeight="1" x14ac:dyDescent="0.6">
      <c r="A1" s="33" t="s">
        <v>350</v>
      </c>
      <c r="B1" s="22"/>
      <c r="C1" s="22"/>
      <c r="D1" s="22"/>
      <c r="E1" s="22"/>
      <c r="F1" s="22"/>
      <c r="G1" s="22"/>
      <c r="H1" s="22"/>
      <c r="I1" s="22"/>
    </row>
    <row r="2" spans="1:9" x14ac:dyDescent="0.6">
      <c r="A2" s="35" t="s">
        <v>190</v>
      </c>
      <c r="B2" s="22"/>
      <c r="C2" s="22"/>
      <c r="D2" s="22"/>
      <c r="E2" s="22"/>
      <c r="F2" s="22"/>
      <c r="G2" s="22"/>
      <c r="H2" s="22"/>
      <c r="I2" s="22"/>
    </row>
    <row r="3" spans="1:9" x14ac:dyDescent="0.6">
      <c r="A3" s="1"/>
      <c r="B3" s="1"/>
      <c r="C3" s="1"/>
      <c r="D3" s="1"/>
      <c r="E3" s="1"/>
      <c r="F3" s="1"/>
      <c r="G3" s="1"/>
      <c r="H3" s="1"/>
      <c r="I3" s="1"/>
    </row>
    <row r="4" spans="1:9" ht="30" customHeight="1" x14ac:dyDescent="0.6">
      <c r="A4" s="2" t="s">
        <v>118</v>
      </c>
      <c r="B4" s="2" t="s">
        <v>191</v>
      </c>
      <c r="C4" s="2" t="s">
        <v>121</v>
      </c>
      <c r="D4" s="2" t="s">
        <v>100</v>
      </c>
      <c r="E4" s="2" t="s">
        <v>70</v>
      </c>
      <c r="F4" s="2" t="s">
        <v>192</v>
      </c>
      <c r="G4" s="2" t="s">
        <v>122</v>
      </c>
      <c r="H4" s="2" t="s">
        <v>123</v>
      </c>
      <c r="I4" s="2" t="s">
        <v>8</v>
      </c>
    </row>
    <row r="5" spans="1:9" ht="36" customHeight="1" x14ac:dyDescent="0.6">
      <c r="A5" s="18" t="s">
        <v>124</v>
      </c>
      <c r="B5" s="3" t="s">
        <v>193</v>
      </c>
      <c r="C5" s="18" t="s">
        <v>131</v>
      </c>
      <c r="D5" s="18">
        <v>10</v>
      </c>
      <c r="E5" s="3" t="s">
        <v>194</v>
      </c>
      <c r="F5" s="3" t="s">
        <v>195</v>
      </c>
      <c r="G5" s="3" t="s">
        <v>196</v>
      </c>
      <c r="H5" s="3" t="s">
        <v>197</v>
      </c>
      <c r="I5" s="3" t="s">
        <v>198</v>
      </c>
    </row>
    <row r="6" spans="1:9" ht="36" customHeight="1" x14ac:dyDescent="0.6">
      <c r="A6" s="16" t="s">
        <v>129</v>
      </c>
      <c r="B6" s="3" t="s">
        <v>199</v>
      </c>
      <c r="C6" s="16" t="s">
        <v>131</v>
      </c>
      <c r="D6" s="16">
        <v>30</v>
      </c>
      <c r="E6" s="3" t="s">
        <v>200</v>
      </c>
      <c r="F6" s="3" t="s">
        <v>201</v>
      </c>
      <c r="G6" s="3" t="s">
        <v>202</v>
      </c>
      <c r="H6" s="3" t="s">
        <v>203</v>
      </c>
      <c r="I6" s="3" t="s">
        <v>36</v>
      </c>
    </row>
    <row r="7" spans="1:9" ht="36" customHeight="1" x14ac:dyDescent="0.6">
      <c r="A7" s="15" t="s">
        <v>134</v>
      </c>
      <c r="B7" s="3" t="s">
        <v>204</v>
      </c>
      <c r="C7" s="15" t="s">
        <v>127</v>
      </c>
      <c r="D7" s="15">
        <v>100</v>
      </c>
      <c r="E7" s="3" t="s">
        <v>41</v>
      </c>
      <c r="F7" s="3" t="s">
        <v>205</v>
      </c>
      <c r="G7" s="3" t="s">
        <v>128</v>
      </c>
      <c r="H7" s="3" t="s">
        <v>128</v>
      </c>
      <c r="I7" s="3" t="s">
        <v>45</v>
      </c>
    </row>
    <row r="8" spans="1:9" ht="36" customHeight="1" x14ac:dyDescent="0.6">
      <c r="A8" s="18" t="s">
        <v>140</v>
      </c>
      <c r="B8" s="3" t="s">
        <v>206</v>
      </c>
      <c r="C8" s="18" t="s">
        <v>131</v>
      </c>
      <c r="D8" s="18">
        <v>20</v>
      </c>
      <c r="E8" s="3" t="s">
        <v>207</v>
      </c>
      <c r="F8" s="3" t="s">
        <v>208</v>
      </c>
      <c r="G8" s="3" t="s">
        <v>209</v>
      </c>
      <c r="H8" s="3" t="s">
        <v>210</v>
      </c>
      <c r="I8" s="3" t="s">
        <v>36</v>
      </c>
    </row>
    <row r="10" spans="1:9" ht="22.05" customHeight="1" x14ac:dyDescent="0.6">
      <c r="A10" s="27" t="s">
        <v>211</v>
      </c>
      <c r="B10" s="22"/>
      <c r="C10" s="22"/>
      <c r="D10" s="22"/>
      <c r="E10" s="22"/>
      <c r="F10" s="22"/>
      <c r="G10" s="22"/>
      <c r="H10" s="22"/>
      <c r="I10" s="22"/>
    </row>
  </sheetData>
  <mergeCells count="3">
    <mergeCell ref="A1:I1"/>
    <mergeCell ref="A2:I2"/>
    <mergeCell ref="A10:I10"/>
  </mergeCells>
  <phoneticPr fontId="10" type="noConversion"/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2"/>
  <sheetViews>
    <sheetView showGridLines="0" workbookViewId="0">
      <selection activeCell="B9" sqref="B9"/>
    </sheetView>
  </sheetViews>
  <sheetFormatPr defaultRowHeight="16.899999999999999" x14ac:dyDescent="0.6"/>
  <cols>
    <col min="1" max="1" width="10" customWidth="1"/>
    <col min="2" max="2" width="24" customWidth="1"/>
    <col min="3" max="3" width="30" customWidth="1"/>
    <col min="4" max="5" width="18" customWidth="1"/>
    <col min="6" max="7" width="28" customWidth="1"/>
  </cols>
  <sheetData>
    <row r="1" spans="1:7" ht="26" customHeight="1" x14ac:dyDescent="0.6">
      <c r="A1" s="25" t="s">
        <v>251</v>
      </c>
      <c r="B1" s="24"/>
      <c r="C1" s="24"/>
      <c r="D1" s="24"/>
      <c r="E1" s="24"/>
      <c r="F1" s="24"/>
      <c r="G1" s="24"/>
    </row>
    <row r="3" spans="1:7" ht="22.05" customHeight="1" x14ac:dyDescent="0.6">
      <c r="A3" s="31" t="s">
        <v>252</v>
      </c>
      <c r="B3" s="22"/>
      <c r="C3" s="22"/>
      <c r="D3" s="22"/>
      <c r="E3" s="22"/>
      <c r="F3" s="22"/>
      <c r="G3" s="22"/>
    </row>
    <row r="4" spans="1:7" x14ac:dyDescent="0.6">
      <c r="A4" s="14" t="s">
        <v>253</v>
      </c>
      <c r="B4" s="14" t="s">
        <v>254</v>
      </c>
      <c r="C4" s="14" t="s">
        <v>255</v>
      </c>
      <c r="D4" s="14" t="s">
        <v>256</v>
      </c>
      <c r="E4" s="14" t="s">
        <v>257</v>
      </c>
      <c r="F4" s="14" t="s">
        <v>258</v>
      </c>
      <c r="G4" s="14" t="s">
        <v>259</v>
      </c>
    </row>
    <row r="5" spans="1:7" ht="28.05" customHeight="1" x14ac:dyDescent="0.6">
      <c r="A5" s="3" t="s">
        <v>260</v>
      </c>
      <c r="B5" s="15" t="s">
        <v>261</v>
      </c>
      <c r="C5" s="3" t="s">
        <v>262</v>
      </c>
      <c r="D5" s="3" t="s">
        <v>263</v>
      </c>
      <c r="E5" s="3" t="s">
        <v>264</v>
      </c>
      <c r="F5" s="3" t="s">
        <v>265</v>
      </c>
      <c r="G5" s="3" t="s">
        <v>266</v>
      </c>
    </row>
    <row r="6" spans="1:7" ht="28.05" customHeight="1" x14ac:dyDescent="0.6">
      <c r="A6" s="3" t="s">
        <v>267</v>
      </c>
      <c r="B6" s="4" t="s">
        <v>268</v>
      </c>
      <c r="C6" s="3" t="s">
        <v>269</v>
      </c>
      <c r="D6" s="3" t="s">
        <v>270</v>
      </c>
      <c r="E6" s="3" t="s">
        <v>271</v>
      </c>
      <c r="F6" s="3" t="s">
        <v>272</v>
      </c>
      <c r="G6" s="3" t="s">
        <v>273</v>
      </c>
    </row>
    <row r="7" spans="1:7" ht="28.05" customHeight="1" x14ac:dyDescent="0.6">
      <c r="A7" s="3" t="s">
        <v>274</v>
      </c>
      <c r="B7" s="20" t="s">
        <v>275</v>
      </c>
      <c r="C7" s="3" t="s">
        <v>276</v>
      </c>
      <c r="D7" s="3" t="s">
        <v>277</v>
      </c>
      <c r="E7" s="3" t="s">
        <v>278</v>
      </c>
      <c r="F7" s="3" t="s">
        <v>279</v>
      </c>
      <c r="G7" s="3" t="s">
        <v>280</v>
      </c>
    </row>
    <row r="8" spans="1:7" ht="28.05" customHeight="1" x14ac:dyDescent="0.6">
      <c r="A8" s="3" t="s">
        <v>281</v>
      </c>
      <c r="B8" s="17" t="s">
        <v>282</v>
      </c>
      <c r="C8" s="3" t="s">
        <v>283</v>
      </c>
      <c r="D8" s="3" t="s">
        <v>284</v>
      </c>
      <c r="E8" s="3" t="s">
        <v>285</v>
      </c>
      <c r="F8" s="3" t="s">
        <v>286</v>
      </c>
      <c r="G8" s="3" t="s">
        <v>287</v>
      </c>
    </row>
    <row r="10" spans="1:7" ht="22.05" customHeight="1" x14ac:dyDescent="0.6">
      <c r="A10" s="31" t="s">
        <v>288</v>
      </c>
      <c r="B10" s="22"/>
      <c r="C10" s="22"/>
      <c r="D10" s="22"/>
      <c r="E10" s="22"/>
      <c r="F10" s="24"/>
      <c r="G10" s="24"/>
    </row>
    <row r="11" spans="1:7" ht="31.5" x14ac:dyDescent="0.6">
      <c r="A11" s="14" t="s">
        <v>289</v>
      </c>
      <c r="B11" s="14" t="s">
        <v>290</v>
      </c>
      <c r="C11" s="14" t="s">
        <v>291</v>
      </c>
      <c r="D11" s="14" t="s">
        <v>292</v>
      </c>
      <c r="E11" s="14" t="s">
        <v>293</v>
      </c>
    </row>
    <row r="12" spans="1:7" ht="26" customHeight="1" x14ac:dyDescent="0.6">
      <c r="A12" s="4" t="s">
        <v>294</v>
      </c>
      <c r="B12" s="3" t="s">
        <v>295</v>
      </c>
      <c r="C12" s="3" t="s">
        <v>296</v>
      </c>
      <c r="D12" s="3" t="s">
        <v>297</v>
      </c>
      <c r="E12" s="3" t="s">
        <v>298</v>
      </c>
    </row>
    <row r="13" spans="1:7" ht="26" customHeight="1" x14ac:dyDescent="0.6">
      <c r="A13" s="4" t="s">
        <v>49</v>
      </c>
      <c r="B13" s="3" t="s">
        <v>299</v>
      </c>
      <c r="C13" s="3" t="s">
        <v>300</v>
      </c>
      <c r="D13" s="3" t="s">
        <v>297</v>
      </c>
      <c r="E13" s="3" t="s">
        <v>301</v>
      </c>
    </row>
    <row r="14" spans="1:7" ht="26" customHeight="1" x14ac:dyDescent="0.6">
      <c r="A14" s="4" t="s">
        <v>32</v>
      </c>
      <c r="B14" s="3" t="s">
        <v>302</v>
      </c>
      <c r="C14" s="3" t="s">
        <v>303</v>
      </c>
      <c r="D14" s="3" t="s">
        <v>297</v>
      </c>
      <c r="E14" s="3" t="s">
        <v>304</v>
      </c>
    </row>
    <row r="15" spans="1:7" ht="26" customHeight="1" x14ac:dyDescent="0.6">
      <c r="A15" s="4" t="s">
        <v>84</v>
      </c>
      <c r="B15" s="3" t="s">
        <v>305</v>
      </c>
      <c r="C15" s="3" t="s">
        <v>306</v>
      </c>
      <c r="D15" s="3" t="s">
        <v>307</v>
      </c>
      <c r="E15" s="3" t="s">
        <v>308</v>
      </c>
    </row>
    <row r="16" spans="1:7" ht="26" customHeight="1" x14ac:dyDescent="0.6">
      <c r="A16" s="4" t="s">
        <v>143</v>
      </c>
      <c r="B16" s="3" t="s">
        <v>309</v>
      </c>
      <c r="C16" s="3" t="s">
        <v>310</v>
      </c>
      <c r="D16" s="3" t="s">
        <v>297</v>
      </c>
      <c r="E16" s="3" t="s">
        <v>311</v>
      </c>
    </row>
    <row r="17" spans="1:7" ht="26" customHeight="1" x14ac:dyDescent="0.6">
      <c r="A17" s="4" t="s">
        <v>312</v>
      </c>
      <c r="B17" s="3" t="s">
        <v>39</v>
      </c>
      <c r="C17" s="3" t="s">
        <v>313</v>
      </c>
      <c r="D17" s="3" t="s">
        <v>314</v>
      </c>
      <c r="E17" s="3" t="s">
        <v>315</v>
      </c>
    </row>
    <row r="18" spans="1:7" ht="26" customHeight="1" x14ac:dyDescent="0.6">
      <c r="A18" s="4" t="s">
        <v>316</v>
      </c>
      <c r="B18" s="3" t="s">
        <v>53</v>
      </c>
      <c r="C18" s="3" t="s">
        <v>317</v>
      </c>
      <c r="D18" s="3" t="s">
        <v>307</v>
      </c>
      <c r="E18" s="3" t="s">
        <v>318</v>
      </c>
    </row>
    <row r="20" spans="1:7" ht="22.05" customHeight="1" x14ac:dyDescent="0.6">
      <c r="A20" s="31" t="s">
        <v>319</v>
      </c>
      <c r="B20" s="22"/>
      <c r="C20" s="22"/>
      <c r="D20" s="22"/>
      <c r="E20" s="22"/>
      <c r="F20" s="22"/>
      <c r="G20" s="22"/>
    </row>
    <row r="21" spans="1:7" ht="28.05" customHeight="1" x14ac:dyDescent="0.6">
      <c r="A21" s="36" t="s">
        <v>320</v>
      </c>
      <c r="B21" s="22"/>
      <c r="C21" s="22"/>
      <c r="D21" s="22"/>
      <c r="E21" s="22"/>
      <c r="F21" s="22"/>
      <c r="G21" s="22"/>
    </row>
    <row r="22" spans="1:7" ht="28.05" customHeight="1" x14ac:dyDescent="0.6">
      <c r="A22" s="37" t="s">
        <v>321</v>
      </c>
      <c r="B22" s="22"/>
      <c r="C22" s="22"/>
      <c r="D22" s="22"/>
      <c r="E22" s="22"/>
      <c r="F22" s="22"/>
      <c r="G22" s="22"/>
    </row>
  </sheetData>
  <mergeCells count="6">
    <mergeCell ref="A1:G1"/>
    <mergeCell ref="A3:G3"/>
    <mergeCell ref="A21:G21"/>
    <mergeCell ref="A22:G22"/>
    <mergeCell ref="A20:G20"/>
    <mergeCell ref="A10:G10"/>
  </mergeCells>
  <phoneticPr fontId="10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"/>
  <sheetViews>
    <sheetView showGridLines="0" workbookViewId="0">
      <selection activeCell="A2" sqref="A2:H8"/>
    </sheetView>
  </sheetViews>
  <sheetFormatPr defaultRowHeight="16.899999999999999" x14ac:dyDescent="0.6"/>
  <cols>
    <col min="1" max="1" width="8" customWidth="1"/>
    <col min="2" max="2" width="20" customWidth="1"/>
    <col min="3" max="4" width="28" customWidth="1"/>
    <col min="5" max="6" width="16" customWidth="1"/>
    <col min="7" max="7" width="28" customWidth="1"/>
    <col min="8" max="8" width="30" customWidth="1"/>
  </cols>
  <sheetData>
    <row r="1" spans="1:8" ht="26" customHeight="1" x14ac:dyDescent="0.6">
      <c r="A1" s="33" t="s">
        <v>322</v>
      </c>
      <c r="B1" s="22"/>
      <c r="C1" s="22"/>
      <c r="D1" s="22"/>
      <c r="E1" s="22"/>
      <c r="F1" s="22"/>
      <c r="G1" s="22"/>
      <c r="H1" s="22"/>
    </row>
    <row r="2" spans="1:8" ht="28.05" customHeight="1" x14ac:dyDescent="0.6">
      <c r="A2" s="2" t="s">
        <v>1</v>
      </c>
      <c r="B2" s="2" t="s">
        <v>323</v>
      </c>
      <c r="C2" s="2" t="s">
        <v>324</v>
      </c>
      <c r="D2" s="2" t="s">
        <v>325</v>
      </c>
      <c r="E2" s="2" t="s">
        <v>326</v>
      </c>
      <c r="F2" s="2" t="s">
        <v>327</v>
      </c>
      <c r="G2" s="2" t="s">
        <v>328</v>
      </c>
      <c r="H2" s="2" t="s">
        <v>329</v>
      </c>
    </row>
    <row r="3" spans="1:8" ht="28.05" customHeight="1" x14ac:dyDescent="0.6">
      <c r="A3" s="4" t="s">
        <v>11</v>
      </c>
      <c r="B3" s="3" t="s">
        <v>330</v>
      </c>
      <c r="C3" s="3" t="s">
        <v>331</v>
      </c>
      <c r="D3" s="3" t="s">
        <v>332</v>
      </c>
      <c r="E3" s="3" t="s">
        <v>333</v>
      </c>
      <c r="F3" s="3" t="s">
        <v>334</v>
      </c>
      <c r="G3" s="3" t="s">
        <v>335</v>
      </c>
      <c r="H3" s="3" t="s">
        <v>336</v>
      </c>
    </row>
    <row r="4" spans="1:8" ht="28.05" customHeight="1" x14ac:dyDescent="0.6">
      <c r="A4" s="4" t="s">
        <v>21</v>
      </c>
      <c r="B4" s="3" t="s">
        <v>330</v>
      </c>
      <c r="C4" s="3" t="s">
        <v>337</v>
      </c>
      <c r="D4" s="3" t="s">
        <v>27</v>
      </c>
      <c r="E4" s="3" t="s">
        <v>333</v>
      </c>
      <c r="F4" s="3" t="s">
        <v>338</v>
      </c>
      <c r="G4" s="3" t="s">
        <v>339</v>
      </c>
      <c r="H4" s="3" t="s">
        <v>340</v>
      </c>
    </row>
    <row r="5" spans="1:8" ht="28.05" customHeight="1" x14ac:dyDescent="0.6">
      <c r="A5" s="4" t="s">
        <v>30</v>
      </c>
      <c r="B5" s="3" t="s">
        <v>330</v>
      </c>
      <c r="C5" s="3" t="s">
        <v>341</v>
      </c>
      <c r="D5" s="3" t="s">
        <v>36</v>
      </c>
      <c r="E5" s="3" t="s">
        <v>333</v>
      </c>
      <c r="F5" s="3" t="s">
        <v>334</v>
      </c>
      <c r="G5" s="3" t="s">
        <v>342</v>
      </c>
      <c r="H5" s="3" t="s">
        <v>336</v>
      </c>
    </row>
    <row r="6" spans="1:8" ht="28.05" customHeight="1" x14ac:dyDescent="0.6">
      <c r="A6" s="4" t="s">
        <v>39</v>
      </c>
      <c r="B6" s="3" t="s">
        <v>330</v>
      </c>
      <c r="C6" s="3" t="s">
        <v>343</v>
      </c>
      <c r="D6" s="3" t="s">
        <v>45</v>
      </c>
      <c r="E6" s="3" t="s">
        <v>333</v>
      </c>
      <c r="F6" s="3" t="s">
        <v>338</v>
      </c>
      <c r="G6" s="3" t="s">
        <v>344</v>
      </c>
      <c r="H6" s="3" t="s">
        <v>345</v>
      </c>
    </row>
    <row r="7" spans="1:8" ht="28.05" customHeight="1" x14ac:dyDescent="0.6">
      <c r="A7" s="4" t="s">
        <v>47</v>
      </c>
      <c r="B7" s="3" t="s">
        <v>330</v>
      </c>
      <c r="C7" s="3" t="s">
        <v>346</v>
      </c>
      <c r="D7" s="3" t="s">
        <v>27</v>
      </c>
      <c r="E7" s="3" t="s">
        <v>333</v>
      </c>
      <c r="F7" s="3" t="s">
        <v>338</v>
      </c>
      <c r="G7" s="3" t="s">
        <v>339</v>
      </c>
      <c r="H7" s="3" t="s">
        <v>340</v>
      </c>
    </row>
    <row r="8" spans="1:8" ht="28.05" customHeight="1" x14ac:dyDescent="0.6">
      <c r="A8" s="4" t="s">
        <v>53</v>
      </c>
      <c r="B8" s="3" t="s">
        <v>330</v>
      </c>
      <c r="C8" s="3" t="s">
        <v>347</v>
      </c>
      <c r="D8" s="3" t="s">
        <v>59</v>
      </c>
      <c r="E8" s="3" t="s">
        <v>333</v>
      </c>
      <c r="F8" s="3" t="s">
        <v>338</v>
      </c>
      <c r="G8" s="3" t="s">
        <v>344</v>
      </c>
      <c r="H8" s="3" t="s">
        <v>348</v>
      </c>
    </row>
    <row r="10" spans="1:8" ht="30" customHeight="1" x14ac:dyDescent="0.6">
      <c r="A10" s="37" t="s">
        <v>349</v>
      </c>
      <c r="B10" s="22"/>
      <c r="C10" s="22"/>
      <c r="D10" s="22"/>
      <c r="E10" s="22"/>
      <c r="F10" s="22"/>
      <c r="G10" s="22"/>
      <c r="H10" s="22"/>
    </row>
  </sheetData>
  <mergeCells count="2">
    <mergeCell ref="A10:H10"/>
    <mergeCell ref="A1:H1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QUIZ_LIST</vt:lpstr>
      <vt:lpstr>Q01_SEQUENCING</vt:lpstr>
      <vt:lpstr>Q02_SENT_MATCH</vt:lpstr>
      <vt:lpstr>Q03_UNSCRAMBLE</vt:lpstr>
      <vt:lpstr>Q04_EMOTION</vt:lpstr>
      <vt:lpstr>Q05_CHAR_GOAL</vt:lpstr>
      <vt:lpstr>Q06_MAIN_IDEA</vt:lpstr>
      <vt:lpstr>SCORING_RULES</vt:lpstr>
      <vt:lpstr>LRS_MAPPING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채봉 이</cp:lastModifiedBy>
  <dcterms:created xsi:type="dcterms:W3CDTF">2026-06-08T12:27:32Z</dcterms:created>
  <dcterms:modified xsi:type="dcterms:W3CDTF">2026-06-10T00:11:57Z</dcterms:modified>
</cp:coreProperties>
</file>