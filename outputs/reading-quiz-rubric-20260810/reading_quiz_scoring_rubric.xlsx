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26f8ae08804e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 안내" sheetId="1" r:id="Rdb707659372e41e6"/>
    <x:sheet xmlns:r="http://schemas.openxmlformats.org/officeDocument/2006/relationships" name="전체 루브릭" sheetId="2" r:id="R1e223030744140bf"/>
    <x:sheet xmlns:r="http://schemas.openxmlformats.org/officeDocument/2006/relationships" name="문항별 루브릭" sheetId="3" r:id="Rd4230374920840be"/>
    <x:sheet xmlns:r="http://schemas.openxmlformats.org/officeDocument/2006/relationships" name="가능 점수" sheetId="4" r:id="Rf799288e23124510"/>
    <x:sheet xmlns:r="http://schemas.openxmlformats.org/officeDocument/2006/relationships" name="선택지 진단" sheetId="5" r:id="R3acd2f1ec43146da"/>
    <x:sheet xmlns:r="http://schemas.openxmlformats.org/officeDocument/2006/relationships" name="점수 계산기" sheetId="6" r:id="Re7ebaed21ce34f4e"/>
    <x:sheet xmlns:r="http://schemas.openxmlformats.org/officeDocument/2006/relationships" name="근거와 출처" sheetId="7" r:id="Rcc01e44b2cf14e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3">
    <x:font>
      <x:sz val="11"/>
      <x:name val="Carlito"/>
    </x:font>
    <x:font>
      <x:b/>
      <x:sz val="18"/>
      <x:color rgb="FFFFFFFF"/>
      <x:name val="Carlito"/>
    </x:font>
    <x:font>
      <x:i/>
      <x:sz val="10"/>
      <x:color rgb="FF4C1D95"/>
      <x:name val="Carlito"/>
    </x:font>
    <x:font>
      <x:b/>
      <x:sz val="12"/>
      <x:color rgb="FFFFFFFF"/>
      <x:name val="Carlito"/>
    </x:font>
    <x:font>
      <x:sz val="10"/>
      <x:color rgb="FF1F2937"/>
      <x:name val="Carlito"/>
    </x:font>
    <x:font>
      <x:b/>
      <x:sz val="10"/>
      <x:color rgb="FF4C1D95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  <x:font>
      <x:b/>
      <x:sz val="10"/>
      <x:color rgb="FF047857"/>
      <x:name val="Carlito"/>
    </x:font>
    <x:font>
      <x:b/>
      <x:sz val="11"/>
      <x:color rgb="FF4C1D95"/>
      <x:name val="Carlito"/>
    </x:font>
    <x:font>
      <x:b/>
      <x:sz val="18"/>
      <x:color rgb="FF4C1D95"/>
      <x:name val="Carlito"/>
    </x:font>
    <x:font>
      <x:b/>
      <x:sz val="10"/>
      <x:color rgb="FFC2410C"/>
      <x:name val="Carlito"/>
    </x:font>
    <x:font>
      <x:i/>
      <x:sz val="11"/>
      <x:color rgb="FFB45309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6D28D9"/>
      </x:patternFill>
    </x:fill>
    <x:fill>
      <x:patternFill patternType="solid">
        <x:fgColor rgb="FFF5F3FF"/>
      </x:patternFill>
    </x:fill>
    <x:fill>
      <x:patternFill patternType="solid">
        <x:fgColor rgb="FF4C1D95"/>
      </x:patternFill>
    </x:fill>
    <x:fill>
      <x:patternFill patternType="solid">
        <x:fgColor rgb="FFEDE9FE"/>
      </x:patternFill>
    </x:fill>
    <x:fill>
      <x:patternFill patternType="solid">
        <x:fgColor rgb="FFFEF3C7"/>
      </x:patternFill>
    </x:fill>
    <x:fill>
      <x:patternFill patternType="solid">
        <x:fgColor rgb="FFD1FAE5"/>
      </x:patternFill>
    </x:fill>
    <x:fill>
      <x:patternFill patternType="solid">
        <x:fgColor rgb="FFFFFFFF"/>
      </x:patternFill>
    </x:fill>
    <x:fill>
      <x:patternFill patternType="solid">
        <x:fgColor rgb="FFFFF7ED"/>
      </x:patternFill>
    </x:fill>
  </x:fills>
  <x:borders count="8">
    <x:border/>
    <x:border>
      <x:bottom style="thin">
        <x:color rgb="FFD8D4E8"/>
      </x:bottom>
    </x:border>
    <x:border>
      <x:top style="thin">
        <x:color rgb="FFD8D4E8"/>
      </x:top>
      <x:bottom style="thin">
        <x:color rgb="FFD8D4E8"/>
      </x:bottom>
    </x:border>
    <x:border>
      <x:left style="thin">
        <x:color rgb="FFD8D4E8"/>
      </x:left>
      <x:right style="thin">
        <x:color rgb="FFD8D4E8"/>
      </x:right>
      <x:top style="thin">
        <x:color rgb="FFD8D4E8"/>
      </x:top>
      <x:bottom style="thin">
        <x:color rgb="FFD8D4E8"/>
      </x:bottom>
    </x:border>
    <x:border>
      <x:left style="medium">
        <x:color rgb="FF6D28D9"/>
      </x:left>
      <x:top style="medium">
        <x:color rgb="FF6D28D9"/>
      </x:top>
      <x:bottom style="medium">
        <x:color rgb="FF6D28D9"/>
      </x:bottom>
    </x:border>
    <x:border>
      <x:top style="medium">
        <x:color rgb="FF6D28D9"/>
      </x:top>
      <x:bottom style="medium">
        <x:color rgb="FF6D28D9"/>
      </x:bottom>
    </x:border>
    <x:border>
      <x:right style="medium">
        <x:color rgb="FF6D28D9"/>
      </x:right>
      <x:top style="medium">
        <x:color rgb="FF6D28D9"/>
      </x:top>
      <x:bottom style="medium">
        <x:color rgb="FF6D28D9"/>
      </x:bottom>
    </x:border>
    <x:border>
      <x:left style="thin">
        <x:color rgb="FFFDBA74"/>
      </x:left>
      <x:right style="thin">
        <x:color rgb="FFFDBA74"/>
      </x:right>
      <x:top style="thin">
        <x:color rgb="FFFDBA74"/>
      </x:top>
      <x:bottom style="thin">
        <x:color rgb="FFFDBA74"/>
      </x:bottom>
    </x:border>
  </x:borders>
  <x:cellStyleXfs count="1">
    <x:xf numFmtId="0" fontId="0" fillId="0" borderId="0"/>
  </x:cellStyleXfs>
  <x:cellXfs count="8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horizontal="center" vertical="top" wrapText="1"/>
    </x:xf>
    <x:xf numFmtId="0" fontId="5" fillId="5" borderId="2" xfId="0" applyNumberFormat="1" applyFont="1" applyFill="1" applyBorder="1" applyAlignment="1">
      <x:alignment horizontal="center" vertical="top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5" fillId="5" borderId="2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6" borderId="2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/>
    <x:xf numFmtId="0" fontId="6" fillId="4" borderId="3" xfId="0" applyNumberFormat="1" applyFont="1" applyFill="1" applyBorder="1"/>
    <x:xf numFmtId="0" fontId="6" fillId="4" borderId="3" xfId="0" applyNumberFormat="1" applyFont="1" applyFill="1" applyBorder="1" applyAlignment="1">
      <x:alignment wrapText="1"/>
    </x:xf>
    <x:xf numFmtId="0" fontId="6" fillId="4" borderId="3" xfId="0" applyNumberFormat="1" applyFont="1" applyFill="1" applyBorder="1" applyAlignment="1">
      <x:alignment horizont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200" fontId="4" fillId="0" borderId="1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4" fillId="0" borderId="2" xfId="0" applyNumberFormat="1" applyFont="1" applyFill="1" applyBorder="1" applyAlignment="1">
      <x:alignment horizontal="center" vertical="top" wrapText="1"/>
    </x:xf>
    <x:xf numFmtId="0" fontId="7" fillId="4" borderId="0" xfId="0" applyNumberFormat="1" applyFont="1" applyFill="1" applyBorder="1"/>
    <x:xf numFmtId="0" fontId="4" fillId="3" borderId="1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4" fillId="7" borderId="2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8" fillId="7" borderId="2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2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center" wrapText="1"/>
    </x:xf>
    <x:xf numFmtId="0" fontId="8" fillId="7" borderId="2" xfId="0" applyNumberFormat="1" applyFont="1" applyFill="1" applyBorder="1" applyAlignment="1">
      <x:alignment horizontal="center" vertical="center" wrapText="1"/>
    </x:xf>
    <x:xf numFmtId="200" fontId="4" fillId="0" borderId="1" xfId="0" applyNumberFormat="1" applyFont="1" applyFill="1" applyBorder="1" applyAlignment="1">
      <x:alignment horizontal="right" vertical="top" wrapText="1"/>
    </x:xf>
    <x:xf numFmtId="200" fontId="4" fillId="0" borderId="2" xfId="0" applyNumberFormat="1" applyFont="1" applyFill="1" applyBorder="1" applyAlignment="1">
      <x:alignment horizontal="right" vertical="top" wrapText="1"/>
    </x:xf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4" xfId="0" applyNumberFormat="1" applyFont="1" applyFill="1" applyBorder="1"/>
    <x:xf numFmtId="0" fontId="9" fillId="5" borderId="5" xfId="0" applyNumberFormat="1" applyFont="1" applyFill="1" applyBorder="1"/>
    <x:xf numFmtId="0" fontId="9" fillId="5" borderId="6" xfId="0" applyNumberFormat="1" applyFont="1" applyFill="1" applyBorder="1"/>
    <x:xf numFmtId="0" fontId="9" fillId="5" borderId="4" xfId="0" applyNumberFormat="1" applyFont="1" applyFill="1" applyBorder="1" applyAlignment="1">
      <x:alignment wrapText="1"/>
    </x:xf>
    <x:xf numFmtId="0" fontId="9" fillId="5" borderId="5" xfId="0" applyNumberFormat="1" applyFont="1" applyFill="1" applyBorder="1" applyAlignment="1">
      <x:alignment wrapText="1"/>
    </x:xf>
    <x:xf numFmtId="0" fontId="9" fillId="5" borderId="6" xfId="0" applyNumberFormat="1" applyFont="1" applyFill="1" applyBorder="1" applyAlignment="1">
      <x:alignment wrapText="1"/>
    </x:xf>
    <x:xf numFmtId="0" fontId="9" fillId="5" borderId="4" xfId="0" applyNumberFormat="1" applyFont="1" applyFill="1" applyBorder="1" applyAlignment="1">
      <x:alignment vertical="center" wrapText="1"/>
    </x:xf>
    <x:xf numFmtId="0" fontId="9" fillId="5" borderId="5" xfId="0" applyNumberFormat="1" applyFont="1" applyFill="1" applyBorder="1" applyAlignment="1">
      <x:alignment vertical="center" wrapText="1"/>
    </x:xf>
    <x:xf numFmtId="0" fontId="9" fillId="5" borderId="6" xfId="0" applyNumberFormat="1" applyFont="1" applyFill="1" applyBorder="1" applyAlignment="1">
      <x:alignment vertical="center" wrapText="1"/>
    </x:xf>
    <x:xf numFmtId="0" fontId="9" fillId="8" borderId="5" xfId="0" applyNumberFormat="1" applyFont="1" applyFill="1" applyBorder="1" applyAlignment="1">
      <x:alignment vertical="center" wrapText="1"/>
    </x:xf>
    <x:xf numFmtId="0" fontId="10" fillId="8" borderId="5" xfId="0" applyNumberFormat="1" applyFont="1" applyFill="1" applyBorder="1" applyAlignment="1">
      <x:alignment vertical="center" wrapText="1"/>
    </x:xf>
    <x:xf numFmtId="200" fontId="10" fillId="8" borderId="5" xfId="0" applyNumberFormat="1" applyFont="1" applyFill="1" applyBorder="1" applyAlignment="1">
      <x:alignment vertical="center" wrapText="1"/>
    </x:xf>
    <x:xf numFmtId="200" fontId="10" fillId="8" borderId="5" xfId="0" applyNumberFormat="1" applyFont="1" applyFill="1" applyBorder="1" applyAlignment="1">
      <x:alignment horizontal="center" vertical="center" wrapText="1"/>
    </x:xf>
    <x:xf numFmtId="0" fontId="4" fillId="9" borderId="1" xfId="0" applyNumberFormat="1" applyFont="1" applyFill="1" applyBorder="1" applyAlignment="1">
      <x:alignment vertical="top" wrapText="1"/>
    </x:xf>
    <x:xf numFmtId="0" fontId="4" fillId="9" borderId="2" xfId="0" applyNumberFormat="1" applyFont="1" applyFill="1" applyBorder="1" applyAlignment="1">
      <x:alignment vertical="top" wrapText="1"/>
    </x:xf>
    <x:xf numFmtId="0" fontId="11" fillId="9" borderId="1" xfId="0" applyNumberFormat="1" applyFont="1" applyFill="1" applyBorder="1" applyAlignment="1">
      <x:alignment vertical="top" wrapText="1"/>
    </x:xf>
    <x:xf numFmtId="0" fontId="11" fillId="9" borderId="2" xfId="0" applyNumberFormat="1" applyFont="1" applyFill="1" applyBorder="1" applyAlignment="1">
      <x:alignment vertical="top" wrapText="1"/>
    </x:xf>
    <x:xf numFmtId="0" fontId="11" fillId="9" borderId="7" xfId="0" applyNumberFormat="1" applyFont="1" applyFill="1" applyBorder="1" applyAlignment="1">
      <x:alignment vertical="top" wrapText="1"/>
    </x:xf>
    <x:xf numFmtId="200" fontId="11" fillId="9" borderId="7" xfId="0" applyNumberFormat="1" applyFont="1" applyFill="1" applyBorder="1" applyAlignment="1">
      <x:alignment vertical="top" wrapText="1"/>
    </x:xf>
    <x:xf numFmtId="200" fontId="11" fillId="9" borderId="7" xfId="0" applyNumberFormat="1" applyFont="1" applyFill="1" applyBorder="1" applyAlignment="1">
      <x:alignment horizontal="center" vertical="top" wrapText="1"/>
    </x:xf>
    <x:xf numFmtId="200" fontId="11" fillId="9" borderId="7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2" fillId="6" borderId="0" xfId="0" applyNumberFormat="1" applyFont="1" applyFill="1" applyBorder="1"/>
    <x:xf numFmtId="0" fontId="12" fillId="6" borderId="0" xfId="0" applyNumberFormat="1" applyFont="1" applyFill="1" applyBorder="1" applyAlignment="1">
      <x:alignment wrapText="1"/>
    </x:xf>
    <x:xf numFmtId="0" fontId="12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8">
    <x:dxf>
      <x:font>
        <x:b/>
        <x:color rgb="FF047857"/>
      </x:font>
      <x:fill>
        <x:patternFill patternType="solid">
          <x:bgColor rgb="FFD1FAE5"/>
        </x:patternFill>
      </x:fill>
    </x:dxf>
    <x:dxf>
      <x:font>
        <x:b/>
        <x:color rgb="FF2563EB"/>
      </x:font>
      <x:fill>
        <x:patternFill patternType="solid">
          <x:bgColor rgb="FFDBEAFE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047857"/>
      </x:font>
      <x:fill>
        <x:patternFill patternType="solid">
          <x:bgColor rgb="FFD1FAE5"/>
        </x:patternFill>
      </x:fill>
    </x:dxf>
    <x:dxf>
      <x:font>
        <x:b/>
        <x:color rgb="FF2563EB"/>
      </x:font>
      <x:fill>
        <x:patternFill patternType="solid">
          <x:bgColor rgb="FFDBEAFE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047857"/>
      </x:font>
      <x:fill>
        <x:patternFill patternType="solid">
          <x:bgColor rgb="FFD1FAE5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047857"/>
      </x:font>
      <x:fill>
        <x:patternFill patternType="solid">
          <x:bgColor rgb="FFD1FAE5"/>
        </x:patternFill>
      </x:fill>
    </x:dxf>
    <x:dxf>
      <x:font>
        <x:b/>
        <x:color rgb="FF2563EB"/>
      </x:font>
      <x:fill>
        <x:patternFill patternType="solid">
          <x:bgColor rgb="FFDBEAFE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047857"/>
      </x:font>
      <x:fill>
        <x:patternFill patternType="solid">
          <x:bgColor rgb="FFD1FAE5"/>
        </x:patternFill>
      </x:fill>
    </x:dxf>
    <x:dxf>
      <x:font>
        <x:b/>
        <x:color rgb="FF2563EB"/>
      </x:font>
      <x:fill>
        <x:patternFill patternType="solid">
          <x:bgColor rgb="FFDBEAFE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682b7a61ad4457" /><Relationship Type="http://schemas.openxmlformats.org/officeDocument/2006/relationships/theme" Target="/xl/theme/theme1.xml" Id="Rcc1efe5882c84508" /><Relationship Type="http://schemas.openxmlformats.org/officeDocument/2006/relationships/sharedStrings" Target="/xl/sharedStrings.xml" Id="R21d5f4a1cb9343d0" /><Relationship Type="http://schemas.openxmlformats.org/officeDocument/2006/relationships/worksheet" Target="/xl/worksheets/sheet1.xml" Id="Rdb707659372e41e6" /><Relationship Type="http://schemas.openxmlformats.org/officeDocument/2006/relationships/worksheet" Target="/xl/worksheets/sheet2.xml" Id="R1e223030744140bf" /><Relationship Type="http://schemas.openxmlformats.org/officeDocument/2006/relationships/worksheet" Target="/xl/worksheets/sheet3.xml" Id="Rd4230374920840be" /><Relationship Type="http://schemas.openxmlformats.org/officeDocument/2006/relationships/worksheet" Target="/xl/worksheets/sheet4.xml" Id="Rf799288e23124510" /><Relationship Type="http://schemas.openxmlformats.org/officeDocument/2006/relationships/worksheet" Target="/xl/worksheets/sheet5.xml" Id="R3acd2f1ec43146da" /><Relationship Type="http://schemas.openxmlformats.org/officeDocument/2006/relationships/worksheet" Target="/xl/worksheets/sheet6.xml" Id="Re7ebaed21ce34f4e" /><Relationship Type="http://schemas.openxmlformats.org/officeDocument/2006/relationships/worksheet" Target="/xl/worksheets/sheet7.xml" Id="Rcc01e44b2cf14e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4" t="str">
        <x:v>Reading Quiz v3 점수·피드백 루브릭</x:v>
      </x:c>
      <x:c r="B1" s="4"/>
      <x:c r="C1" s="4"/>
      <x:c r="D1" s="4"/>
      <x:c r="E1" s="4"/>
      <x:c r="F1" s="4"/>
      <x:c r="G1" s="4"/>
      <x:c r="H1" s="4"/>
    </x:row>
    <x:row r="2" ht="34" customHeight="1">
      <x:c r="A2" s="8" t="str">
        <x:v>v3, Quiz Studio, tools의 실제 채점 코드를 기준으로 작성 · 2026-08-10</x:v>
      </x:c>
      <x:c r="B2" s="8"/>
      <x:c r="C2" s="8"/>
      <x:c r="D2" s="8"/>
      <x:c r="E2" s="8"/>
      <x:c r="F2" s="8"/>
      <x:c r="G2" s="8"/>
      <x:c r="H2" s="8"/>
    </x:row>
    <x:row r="4">
      <x:c r="A4" s="10" t="str">
        <x:v>핵심 해석</x:v>
      </x:c>
      <x:c r="B4" s="10"/>
      <x:c r="C4" s="10"/>
      <x:c r="D4" s="10"/>
      <x:c r="E4" s="10"/>
      <x:c r="F4" s="10"/>
      <x:c r="G4" s="10"/>
      <x:c r="H4" s="10"/>
    </x:row>
    <x:row r="5">
      <x:c r="A5" s="24" t="str">
        <x:v>1</x:v>
      </x:c>
      <x:c r="B5" s="26" t="str">
        <x:v>전체 점수</x:v>
      </x:c>
      <x:c r="C5" s="16" t="str">
        <x:v>Q1~Q6의 6개 Story Grammar 점수를 동일 비중(각 1/6)으로 평균합니다.</x:v>
      </x:c>
      <x:c r="D5" s="16"/>
      <x:c r="E5" s="16"/>
      <x:c r="F5" s="16"/>
      <x:c r="G5" s="16"/>
      <x:c r="H5" s="16"/>
    </x:row>
    <x:row r="6">
      <x:c r="A6" s="25" t="str">
        <x:v>2</x:v>
      </x:c>
      <x:c r="B6" s="27" t="str">
        <x:v>문항 내부 가중치</x:v>
      </x:c>
      <x:c r="C6" s="17" t="str">
        <x:v>Q1·Q2·Q4는 핵심 위치·요소에 더 큰 가중치를 주고, Q3·Q5·Q6은 선택지별 고정 진단점수를 사용합니다.</x:v>
      </x:c>
      <x:c r="D6" s="17"/>
      <x:c r="E6" s="17"/>
      <x:c r="F6" s="17"/>
      <x:c r="G6" s="17"/>
      <x:c r="H6" s="17"/>
    </x:row>
    <x:row r="7">
      <x:c r="A7" s="25" t="str">
        <x:v>3</x:v>
      </x:c>
      <x:c r="B7" s="27" t="str">
        <x:v>부분점수의 의미</x:v>
      </x:c>
      <x:c r="C7" s="17" t="str">
        <x:v>부분점수는 ‘부분 숙달률’의 통계적 추정치가 아니라 현재 코드가 정의한 구조적 근접성 지표입니다.</x:v>
      </x:c>
      <x:c r="D7" s="17"/>
      <x:c r="E7" s="17"/>
      <x:c r="F7" s="17"/>
      <x:c r="G7" s="17"/>
      <x:c r="H7" s="17"/>
    </x:row>
    <x:row r="8">
      <x:c r="A8" s="25" t="str">
        <x:v>4</x:v>
      </x:c>
      <x:c r="B8" s="27" t="str">
        <x:v>피드백 원칙</x:v>
      </x:c>
      <x:c r="C8" s="17" t="str">
        <x:v>점수 구간과 함께 실제 배열·슬롯·선택지 diagnostic을 확인해야 학생의 오개념을 구체적으로 설명할 수 있습니다.</x:v>
      </x:c>
      <x:c r="D8" s="17"/>
      <x:c r="E8" s="17"/>
      <x:c r="F8" s="17"/>
      <x:c r="G8" s="17"/>
      <x:c r="H8" s="17"/>
    </x:row>
    <x:row r="10">
      <x:c r="A10" s="10" t="str">
        <x:v>시트 구성</x:v>
      </x:c>
      <x:c r="B10" s="10"/>
      <x:c r="C10" s="10"/>
      <x:c r="D10" s="10"/>
      <x:c r="E10" s="10"/>
      <x:c r="F10" s="10"/>
      <x:c r="G10" s="10"/>
      <x:c r="H10" s="10"/>
    </x:row>
    <x:row r="11">
      <x:c r="A11" s="26" t="str">
        <x:v>전체 루브릭</x:v>
      </x:c>
      <x:c r="B11" s="16" t="str">
        <x:v>85/70/50점 기준의 4개 숙달 구간과 공통 피드백</x:v>
      </x:c>
      <x:c r="C11" s="16"/>
      <x:c r="D11" s="16"/>
      <x:c r="E11" s="16"/>
      <x:c r="F11" s="16"/>
      <x:c r="G11" s="16"/>
      <x:c r="H11" s="16"/>
    </x:row>
    <x:row r="12">
      <x:c r="A12" s="27" t="str">
        <x:v>문항별 루브릭</x:v>
      </x:c>
      <x:c r="B12" s="17" t="str">
        <x:v>Q1~Q6의 평가 요소, 가중치, 산식, 근거와 해석 주의점</x:v>
      </x:c>
      <x:c r="C12" s="17"/>
      <x:c r="D12" s="17"/>
      <x:c r="E12" s="17"/>
      <x:c r="F12" s="17"/>
      <x:c r="G12" s="17"/>
      <x:c r="H12" s="17"/>
    </x:row>
    <x:row r="13">
      <x:c r="A13" s="27" t="str">
        <x:v>가능 점수</x:v>
      </x:c>
      <x:c r="B13" s="17" t="str">
        <x:v>현재 6개 v3 콘텐츠에서 실제로 발생 가능한 문항 점수와 점수별 피드백</x:v>
      </x:c>
      <x:c r="C13" s="17"/>
      <x:c r="D13" s="17"/>
      <x:c r="E13" s="17"/>
      <x:c r="F13" s="17"/>
      <x:c r="G13" s="17"/>
      <x:c r="H13" s="17"/>
    </x:row>
    <x:row r="14">
      <x:c r="A14" s="27" t="str">
        <x:v>선택지 진단</x:v>
      </x:c>
      <x:c r="B14" s="17" t="str">
        <x:v>Q3·Q5·Q6의 콘텐츠별 선택지 점수 및 오개념 진단</x:v>
      </x:c>
      <x:c r="C14" s="17"/>
      <x:c r="D14" s="17"/>
      <x:c r="E14" s="17"/>
      <x:c r="F14" s="17"/>
      <x:c r="G14" s="17"/>
      <x:c r="H14" s="17"/>
    </x:row>
    <x:row r="15">
      <x:c r="A15" s="27" t="str">
        <x:v>점수 계산기</x:v>
      </x:c>
      <x:c r="B15" s="17" t="str">
        <x:v>Q1~Q6 점수를 입력하면 전체 평균과 구간별 피드백 자동 계산</x:v>
      </x:c>
      <x:c r="C15" s="17"/>
      <x:c r="D15" s="17"/>
      <x:c r="E15" s="17"/>
      <x:c r="F15" s="17"/>
      <x:c r="G15" s="17"/>
      <x:c r="H15" s="17"/>
    </x:row>
    <x:row r="16">
      <x:c r="A16" s="27" t="str">
        <x:v>근거와 출처</x:v>
      </x:c>
      <x:c r="B16" s="17" t="str">
        <x:v>코드·JSON 근거와 해석 제한 사항</x:v>
      </x:c>
      <x:c r="C16" s="17"/>
      <x:c r="D16" s="17"/>
      <x:c r="E16" s="17"/>
      <x:c r="F16" s="17"/>
      <x:c r="G16" s="17"/>
      <x:c r="H16" s="17"/>
    </x:row>
    <x:row r="17">
      <x:c r="A17" s="28" t="str">
        <x:v>주의</x:v>
      </x:c>
      <x:c r="B17" s="29" t="str">
        <x:v>이 루브릭은 현행 제품 로직의 운영 기준이며 표준화 검사 규준이나 임상적 진단 도구가 아닙니다.</x:v>
      </x:c>
      <x:c r="C17" s="29"/>
      <x:c r="D17" s="29"/>
      <x:c r="E17" s="29"/>
      <x:c r="F17" s="29"/>
      <x:c r="G17" s="29"/>
      <x:c r="H17" s="29"/>
    </x:row>
  </x:sheetData>
  <x:mergeCells>
    <x:mergeCell ref="A1:H1"/>
    <x:mergeCell ref="A2:H2"/>
    <x:mergeCell ref="A4:H4"/>
    <x:mergeCell ref="C5:H5"/>
    <x:mergeCell ref="C6:H6"/>
    <x:mergeCell ref="C7:H7"/>
    <x:mergeCell ref="C8:H8"/>
    <x:mergeCell ref="A10:H10"/>
    <x:mergeCell ref="B11:H11"/>
    <x:mergeCell ref="B12:H12"/>
    <x:mergeCell ref="B13:H13"/>
    <x:mergeCell ref="B14:H14"/>
    <x:mergeCell ref="B15:H15"/>
    <x:mergeCell ref="B16:H16"/>
    <x:mergeCell ref="B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0" hidden="0" customWidth="1"/>
    <x:col min="4" max="4" width="10" hidden="0" customWidth="1"/>
    <x:col min="5" max="5" width="28" hidden="0" customWidth="1"/>
    <x:col min="6" max="6" width="34" hidden="0" customWidth="1"/>
    <x:col min="7" max="7" width="48" hidden="0" customWidth="1"/>
    <x:col min="8" max="8" width="32" hidden="0" customWidth="1"/>
  </x:cols>
  <x:sheetData>
    <x:row r="1" ht="34" customHeight="1">
      <x:c r="A1" s="4" t="str">
        <x:v>전체 점수 루브릭</x:v>
      </x:c>
      <x:c r="B1" s="4"/>
      <x:c r="C1" s="4"/>
      <x:c r="D1" s="4"/>
      <x:c r="E1" s="4"/>
      <x:c r="F1" s="4"/>
      <x:c r="G1" s="4"/>
      <x:c r="H1" s="4"/>
    </x:row>
    <x:row r="2" ht="34" customHeight="1">
      <x:c r="A2" s="8" t="str">
        <x:v>전체점수 = ROUND(AVERAGE(Q1:Q6), 0) · 각 영역은 동일 비중</x:v>
      </x:c>
      <x:c r="B2" s="8"/>
      <x:c r="C2" s="8"/>
      <x:c r="D2" s="8"/>
      <x:c r="E2" s="8"/>
      <x:c r="F2" s="8"/>
      <x:c r="G2" s="8"/>
      <x:c r="H2" s="8"/>
    </x:row>
    <x:row r="4" ht="28" customHeight="1">
      <x:c r="A4" s="34" t="str">
        <x:v>키</x:v>
      </x:c>
      <x:c r="B4" s="34" t="str">
        <x:v>구간</x:v>
      </x:c>
      <x:c r="C4" s="34" t="str">
        <x:v>최저점</x:v>
      </x:c>
      <x:c r="D4" s="34" t="str">
        <x:v>최고점</x:v>
      </x:c>
      <x:c r="E4" s="34" t="str">
        <x:v>해석</x:v>
      </x:c>
      <x:c r="F4" s="34" t="str">
        <x:v>학생 피드백</x:v>
      </x:c>
      <x:c r="G4" s="34" t="str">
        <x:v>학부모 피드백</x:v>
      </x:c>
      <x:c r="H4" s="34" t="str">
        <x:v>권장 활동</x:v>
      </x:c>
    </x:row>
    <x:row r="5" ht="56" customHeight="1">
      <x:c r="A5" s="16" t="str">
        <x:v>stable</x:v>
      </x:c>
      <x:c r="B5" s="37" t="str">
        <x:v>안정</x:v>
      </x:c>
      <x:c r="C5" s="35" t="n">
        <x:v>85</x:v>
      </x:c>
      <x:c r="D5" s="35" t="n">
        <x:v>100</x:v>
      </x:c>
      <x:c r="E5" s="16" t="str">
        <x:v>핵심 단서와 정답 근거를 일관되게 연결함</x:v>
      </x:c>
      <x:c r="F5" s="16" t="str">
        <x:v>이 영역의 핵심 단서를 정확히 찾고 답의 근거까지 잘 연결했어요.</x:v>
      </x:c>
      <x:c r="G5" s="16" t="str">
        <x:v>해당 Story Grammar 요소를 안정적으로 이해하고 있습니다. 다른 이야기에서도 근거를 말하게 하며 일반화를 도와주세요.</x:v>
      </x:c>
      <x:c r="H5" s="16" t="str">
        <x:v>새 이야기에서 같은 전략 적용 및 근거 설명</x:v>
      </x:c>
    </x:row>
    <x:row r="6" ht="56" customHeight="1">
      <x:c r="A6" s="17" t="str">
        <x:v>developing</x:v>
      </x:c>
      <x:c r="B6" s="38" t="str">
        <x:v>발달 중</x:v>
      </x:c>
      <x:c r="C6" s="36" t="n">
        <x:v>70</x:v>
      </x:c>
      <x:c r="D6" s="36" t="n">
        <x:v>84</x:v>
      </x:c>
      <x:c r="E6" s="17" t="str">
        <x:v>큰 흐름은 이해하지만 일부 위치·단서 연결이 흔들림</x:v>
      </x:c>
      <x:c r="F6" s="17" t="str">
        <x:v>큰 흐름은 잘 잡았어요. 헷갈린 장면이나 단서를 한 번 더 비교해 보세요.</x:v>
      </x:c>
      <x:c r="G6" s="17" t="str">
        <x:v>전반적 이해는 형성되고 있으나 일부 세부 연결이 불안정합니다. 정답을 알려주기보다 두 장면의 차이를 말하게 해주세요.</x:v>
      </x:c>
      <x:c r="H6" s="17" t="str">
        <x:v>오답 장면 2개 비교, 이유 한 문장으로 설명</x:v>
      </x:c>
    </x:row>
    <x:row r="7" ht="56" customHeight="1">
      <x:c r="A7" s="17" t="str">
        <x:v>shaky</x:v>
      </x:c>
      <x:c r="B7" s="38" t="str">
        <x:v>흔들림</x:v>
      </x:c>
      <x:c r="C7" s="36" t="n">
        <x:v>50</x:v>
      </x:c>
      <x:c r="D7" s="36" t="n">
        <x:v>69</x:v>
      </x:c>
      <x:c r="E7" s="17" t="str">
        <x:v>일부 핵심은 파악했으나 구조적 연결이 충분하지 않음</x:v>
      </x:c>
      <x:c r="F7" s="17" t="str">
        <x:v>알고 있는 단서가 있어요. 처음·문제·행동·결과를 나누어 다시 정리해 봅시다.</x:v>
      </x:c>
      <x:c r="G7" s="17" t="str">
        <x:v>부분 이해는 확인되지만 이야기 구조를 연결하는 과정이 흔들립니다. 시각 자료와 짧은 문장으로 단계별 재구성이 필요합니다.</x:v>
      </x:c>
      <x:c r="H7" s="17" t="str">
        <x:v>그림 순서 말하기, 핵심 문장 따라 말하기</x:v>
      </x:c>
    </x:row>
    <x:row r="8" ht="56" customHeight="1">
      <x:c r="A8" s="17" t="str">
        <x:v>focus</x:v>
      </x:c>
      <x:c r="B8" s="38" t="str">
        <x:v>집중 보완</x:v>
      </x:c>
      <x:c r="C8" s="36" t="n">
        <x:v>0</x:v>
      </x:c>
      <x:c r="D8" s="36" t="n">
        <x:v>49</x:v>
      </x:c>
      <x:c r="E8" s="17" t="str">
        <x:v>현재 응답만으로는 핵심 구조 이해가 충분히 확인되지 않음</x:v>
      </x:c>
      <x:c r="F8" s="17" t="str">
        <x:v>괜찮아요. 가장 분명한 장면 하나부터 찾고, 힌트와 함께 다시 도전해 봅시다.</x:v>
      </x:c>
      <x:c r="G8" s="17" t="str">
        <x:v>현재 문항에서는 핵심 단서 연결이 충분히 나타나지 않았습니다. 읽기 실패로 단정하지 말고 어휘·주의집중·기기 조작 요인도 함께 확인해 주세요.</x:v>
      </x:c>
      <x:c r="H8" s="17" t="str">
        <x:v>힌트 사용 재시도, 소리 내어 읽기, 교사 모델링</x:v>
      </x:c>
    </x:row>
    <x:row r="10">
      <x:c r="A10" s="39" t="str">
        <x:v>도달 가능성 점검</x:v>
      </x:c>
      <x:c r="B10" s="39"/>
      <x:c r="C10" s="39"/>
      <x:c r="D10" s="39"/>
      <x:c r="E10" s="39"/>
      <x:c r="F10" s="39"/>
      <x:c r="G10" s="39"/>
      <x:c r="H10" s="39"/>
    </x:row>
    <x:row r="11">
      <x:c r="A11" s="42" t="str">
        <x:v>Q1·Q2</x:v>
      </x:c>
      <x:c r="B11" s="16" t="str">
        <x:v>정확 수행은 100점이며, 한 번의 위치/슬롯 오류만 있어도 84점 이하가 될 수 있습니다.</x:v>
      </x:c>
      <x:c r="C11" s="16"/>
      <x:c r="D11" s="16"/>
      <x:c r="E11" s="16"/>
      <x:c r="F11" s="16"/>
      <x:c r="G11" s="16"/>
      <x:c r="H11" s="16"/>
    </x:row>
    <x:row r="12">
      <x:c r="A12" s="43" t="str">
        <x:v>Q3·Q5·Q6</x:v>
      </x:c>
      <x:c r="B12" s="17" t="str">
        <x:v>정답은 100점, 현행 오답은 0~40점입니다. 따라서 문항 단위에서는 ‘발달 중’·‘흔들림’ 점수가 발생하지 않습니다.</x:v>
      </x:c>
      <x:c r="C12" s="17"/>
      <x:c r="D12" s="17"/>
      <x:c r="E12" s="17"/>
      <x:c r="F12" s="17"/>
      <x:c r="G12" s="17"/>
      <x:c r="H12" s="17"/>
    </x:row>
    <x:row r="13">
      <x:c r="A13" s="43" t="str">
        <x:v>전체점수</x:v>
      </x:c>
      <x:c r="B13" s="17" t="str">
        <x:v>서로 다른 영역 점수의 평균이므로 네 구간이 모두 발생할 수 있습니다. 한 문항의 낮은 점수를 전체 읽기 능력으로 단정하지 않습니다.</x:v>
      </x:c>
      <x:c r="C13" s="17"/>
      <x:c r="D13" s="17"/>
      <x:c r="E13" s="17"/>
      <x:c r="F13" s="17"/>
      <x:c r="G13" s="17"/>
      <x:c r="H13" s="17"/>
    </x:row>
  </x:sheetData>
  <x:mergeCells>
    <x:mergeCell ref="A1:H1"/>
    <x:mergeCell ref="A2:H2"/>
    <x:mergeCell ref="A10:H10"/>
    <x:mergeCell ref="B11:H11"/>
    <x:mergeCell ref="B12:H12"/>
    <x:mergeCell ref="B13:H13"/>
  </x:mergeCells>
  <x:conditionalFormatting sqref="B5:B8">
    <x:cfRule type="containsText" dxfId="0" priority="1" operator="containsText" text="안정"/>
    <x:cfRule type="containsText" dxfId="1" priority="2" operator="containsText" text="발달 중"/>
    <x:cfRule type="containsText" dxfId="2" priority="3" operator="containsText" text="흔들림"/>
    <x:cfRule type="containsText" dxfId="3" priority="4" operator="containsText" text="집중 보완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4" hidden="0" customWidth="1"/>
    <x:col min="3" max="3" width="28" hidden="0" customWidth="1"/>
    <x:col min="4" max="4" width="24" hidden="0" customWidth="1"/>
    <x:col min="5" max="5" width="24" hidden="0" customWidth="1"/>
    <x:col min="6" max="6" width="34" hidden="0" customWidth="1"/>
    <x:col min="7" max="7" width="44" hidden="0" customWidth="1"/>
    <x:col min="8" max="8" width="38" hidden="0" customWidth="1"/>
    <x:col min="9" max="9" width="46" hidden="0" customWidth="1"/>
    <x:col min="10" max="10" width="12" hidden="0" customWidth="1"/>
  </x:cols>
  <x:sheetData>
    <x:row r="1" ht="34" customHeight="1">
      <x:c r="A1" s="4" t="str">
        <x:v>문항별 가중치·근거 루브릭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4" customHeight="1">
      <x:c r="A2" s="8" t="str">
        <x:v>가중치는 전체 문항 간 비중이 아니라 각 문항 내부의 부분점수 규칙입니다.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 ht="28" customHeight="1">
      <x:c r="A4" s="34" t="str">
        <x:v>문항</x:v>
      </x:c>
      <x:c r="B4" s="34" t="str">
        <x:v>Story Grammar</x:v>
      </x:c>
      <x:c r="C4" s="34" t="str">
        <x:v>평가 요소</x:v>
      </x:c>
      <x:c r="D4" s="34" t="str">
        <x:v>상호작용</x:v>
      </x:c>
      <x:c r="E4" s="34" t="str">
        <x:v>채점 방식</x:v>
      </x:c>
      <x:c r="F4" s="34" t="str">
        <x:v>가중치</x:v>
      </x:c>
      <x:c r="G4" s="34" t="str">
        <x:v>산식</x:v>
      </x:c>
      <x:c r="H4" s="34" t="str">
        <x:v>설계 근거</x:v>
      </x:c>
      <x:c r="I4" s="34" t="str">
        <x:v>해석 주의</x:v>
      </x:c>
      <x:c r="J4" s="34" t="str">
        <x:v>정답 기준</x:v>
      </x:c>
    </x:row>
    <x:row r="5" ht="88" customHeight="1">
      <x:c r="A5" s="24" t="str">
        <x:v>Q1</x:v>
      </x:c>
      <x:c r="B5" s="16" t="str">
        <x:v>결과·사건 순서 (Consequence)</x:v>
      </x:c>
      <x:c r="C5" s="16" t="str">
        <x:v>사건의 시간적·인과적 흐름과 결과 연결</x:v>
      </x:c>
      <x:c r="D5" s="16" t="str">
        <x:v>5개 장면 순서 배열</x:v>
      </x:c>
      <x:c r="E5" s="16" t="str">
        <x:v>배치 거리 기반 부분점수</x:v>
      </x:c>
      <x:c r="F5" s="16" t="str">
        <x:v>첫 장면 2.5, 마지막 장면 2.5, 중간 장면 각 1.5 (총 9.5)</x:v>
      </x:c>
      <x:c r="G5" s="16" t="str">
        <x:v>각 장면: 정확 위치 100%, 한 칸 차이 50%, 두 칸 이상 0%; 가중합을 100점으로 환산</x:v>
      </x:c>
      <x:c r="H5" s="16" t="str">
        <x:v>시작과 결과는 이야기 전체 틀을 고정하므로 중간 장면보다 높은 가중치</x:v>
      </x:c>
      <x:c r="I5" s="16" t="str">
        <x:v>같은 점수라도 어떤 장면이 이동했는지에 따라 오개념이 다르므로 실제 배열 기록을 함께 해석</x:v>
      </x:c>
      <x:c r="J5" s="50" t="str">
        <x:v>85점 이상</x:v>
      </x:c>
    </x:row>
    <x:row r="6" ht="88" customHeight="1">
      <x:c r="A6" s="25" t="str">
        <x:v>Q2</x:v>
      </x:c>
      <x:c r="B6" s="17" t="str">
        <x:v>배경 (Setting)</x:v>
      </x:c>
      <x:c r="C6" s="17" t="str">
        <x:v>시작 장면의 인물·장소·초기 상태 구분</x:v>
      </x:c>
      <x:c r="D6" s="17" t="str">
        <x:v>Who / Where / At first 슬롯 배치</x:v>
      </x:c>
      <x:c r="E6" s="17" t="str">
        <x:v>슬롯별 가중 정확도 + 같은 범주 오답 35% 부분점수</x:v>
      </x:c>
      <x:c r="F6" s="17" t="str">
        <x:v>Who 2.5, Where 2.0, At first 1.5 (총 6.0)</x:v>
      </x:c>
      <x:c r="G6" s="17" t="str">
        <x:v>정확 카드 100%, 같은 범주의 다른 카드 35%, 다른 범주/미응답 0%; 가중합 환산</x:v>
      </x:c>
      <x:c r="H6" s="17" t="str">
        <x:v>주인공 식별을 가장 핵심으로 보고 장소, 초기 상태 순으로 비중 부여</x:v>
      </x:c>
      <x:c r="I6" s="17" t="str">
        <x:v>점수만으로 어느 슬롯을 틀렸는지 확정할 수 없으므로 slot_values 확인 필요</x:v>
      </x:c>
      <x:c r="J6" s="51" t="str">
        <x:v>85점 이상</x:v>
      </x:c>
    </x:row>
    <x:row r="7" ht="88" customHeight="1">
      <x:c r="A7" s="25" t="str">
        <x:v>Q3</x:v>
      </x:c>
      <x:c r="B7" s="17" t="str">
        <x:v>사건 시작 (Initiating Event)</x:v>
      </x:c>
      <x:c r="C7" s="17" t="str">
        <x:v>문제를 촉발한 최초 사건 식별</x:v>
      </x:c>
      <x:c r="D7" s="17" t="str">
        <x:v>듣기 + 장면 선택</x:v>
      </x:c>
      <x:c r="E7" s="17" t="str">
        <x:v>선택지별 고정 진단점수</x:v>
      </x:c>
      <x:c r="F7" s="17" t="str">
        <x:v>정답 100; 오답은 장면의 서사적 근접성에 따라 0~35</x:v>
      </x:c>
      <x:c r="G7" s="17" t="str">
        <x:v>선택한 옵션에 저장된 score를 그대로 사용</x:v>
      </x:c>
      <x:c r="H7" s="17" t="str">
        <x:v>단순 정오 외에 배경·중간 위기·해결 장면 혼동의 종류를 기록</x:v>
      </x:c>
      <x:c r="I7" s="17" t="str">
        <x:v>현재 오답은 모두 40점 이하이므로 숙달 구간상 전부 ‘집중 보완’; 세부 진단은 option diagnostic으로 구분</x:v>
      </x:c>
      <x:c r="J7" s="51" t="str">
        <x:v>85점 이상</x:v>
      </x:c>
    </x:row>
    <x:row r="8" ht="88" customHeight="1">
      <x:c r="A8" s="25" t="str">
        <x:v>Q4</x:v>
      </x:c>
      <x:c r="B8" s="17" t="str">
        <x:v>시도·행동 (Attempt)</x:v>
      </x:c>
      <x:c r="C8" s="17" t="str">
        <x:v>인물이 문제를 해결하려 한 행동 문장 구성</x:v>
      </x:c>
      <x:c r="D8" s="17" t="str">
        <x:v>행동 문장 단어 순서 배열</x:v>
      </x:c>
      <x:c r="E8" s="17" t="str">
        <x:v>정확 위치 단어의 가중합</x:v>
      </x:c>
      <x:c r="F8" s="17" t="str">
        <x:v>첫 단어 2.5, 둘째 단어 2.5, 마지막 단어 2.5, 나머지 각 1.0</x:v>
      </x:c>
      <x:c r="G8" s="17" t="str">
        <x:v>정확한 위치의 단어만 가중치 인정; 총 가중치로 나누어 100점 환산</x:v>
      </x:c>
      <x:c r="H8" s="17" t="str">
        <x:v>행위자·핵심 동작·문장 종결이 행동 의미와 문장 구조를 고정</x:v>
      </x:c>
      <x:c r="I8" s="17" t="str">
        <x:v>문장 길이(4~9단어)에 따라 가능한 점수 집합이 달라짐; 같은 점수라도 틀린 단어 위치 확인 필요</x:v>
      </x:c>
      <x:c r="J8" s="51" t="str">
        <x:v>85점 이상</x:v>
      </x:c>
    </x:row>
    <x:row r="9" ht="88" customHeight="1">
      <x:c r="A9" s="25" t="str">
        <x:v>Q5</x:v>
      </x:c>
      <x:c r="B9" s="17" t="str">
        <x:v>감정 반응 (Reaction)</x:v>
      </x:c>
      <x:c r="C9" s="17" t="str">
        <x:v>사건과 인물의 감정 반응 연결</x:v>
      </x:c>
      <x:c r="D9" s="17" t="str">
        <x:v>장면 감정 선택</x:v>
      </x:c>
      <x:c r="E9" s="17" t="str">
        <x:v>선택지별 고정 진단점수</x:v>
      </x:c>
      <x:c r="F9" s="17" t="str">
        <x:v>정답 100; 오답은 정서 방향·근접성에 따라 0~40</x:v>
      </x:c>
      <x:c r="G9" s="17" t="str">
        <x:v>선택한 옵션에 저장된 score를 그대로 사용</x:v>
      </x:c>
      <x:c r="H9" s="17" t="str">
        <x:v>감정의 긍정/부정 방향을 잡았는지와 유사 감정 혼동을 구별</x:v>
      </x:c>
      <x:c r="I9" s="17" t="str">
        <x:v>현재 오답은 모두 40점 이하이므로 숙달 구간상 전부 ‘집중 보완’; 감정 어휘력의 영향도 확인</x:v>
      </x:c>
      <x:c r="J9" s="51" t="str">
        <x:v>85점 이상</x:v>
      </x:c>
    </x:row>
    <x:row r="10" ht="88" customHeight="1">
      <x:c r="A10" s="25" t="str">
        <x:v>Q6</x:v>
      </x:c>
      <x:c r="B10" s="17" t="str">
        <x:v>내적 반응 (Internal Response)</x:v>
      </x:c>
      <x:c r="C10" s="17" t="str">
        <x:v>행동 이면의 생각·의도·깨달음 추론</x:v>
      </x:c>
      <x:c r="D10" s="17" t="str">
        <x:v>인물의 생각·깨달음 선택</x:v>
      </x:c>
      <x:c r="E10" s="17" t="str">
        <x:v>선택지별 고정 진단점수</x:v>
      </x:c>
      <x:c r="F10" s="17" t="str">
        <x:v>정답 100; 오답은 표면 정보·이전 생각·반대 의미 등에 따라 0~30</x:v>
      </x:c>
      <x:c r="G10" s="17" t="str">
        <x:v>선택한 옵션에 저장된 score를 그대로 사용</x:v>
      </x:c>
      <x:c r="H10" s="17" t="str">
        <x:v>이야기의 표면 사실과 인물의 내적 변화 사이의 추론 거리를 기록</x:v>
      </x:c>
      <x:c r="I10" s="17" t="str">
        <x:v>현재 오답은 모두 30점 이하이므로 숙달 구간상 전부 ‘집중 보완’; 언어 표현보다 추론 근거를 함께 확인</x:v>
      </x:c>
      <x:c r="J10" s="51" t="str">
        <x:v>85점 이상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5" hidden="0" customWidth="1"/>
    <x:col min="3" max="3" width="25" hidden="0" customWidth="1"/>
    <x:col min="4" max="4" width="24" hidden="0" customWidth="1"/>
    <x:col min="5" max="5" width="11" hidden="0" customWidth="1"/>
    <x:col min="6" max="6" width="14" hidden="0" customWidth="1"/>
    <x:col min="7" max="7" width="42" hidden="0" customWidth="1"/>
    <x:col min="8" max="8" width="52" hidden="0" customWidth="1"/>
    <x:col min="9" max="9" width="34" hidden="0" customWidth="1"/>
  </x:cols>
  <x:sheetData>
    <x:row r="1" ht="34" customHeight="1">
      <x:c r="A1" s="4" t="str">
        <x:v>문항별 실제 가능 점수</x:v>
      </x:c>
      <x:c r="B1" s="4"/>
      <x:c r="C1" s="4"/>
      <x:c r="D1" s="4"/>
      <x:c r="E1" s="4"/>
      <x:c r="F1" s="4"/>
      <x:c r="G1" s="4"/>
      <x:c r="H1" s="4"/>
      <x:c r="I1" s="4"/>
    </x:row>
    <x:row r="2" ht="34" customHeight="1">
      <x:c r="A2" s="8" t="str">
        <x:v>현재 v3 6종 콘텐츠의 코드 규칙으로 산출 가능한 점수 · Q4는 문장 길이별로 구분</x:v>
      </x:c>
      <x:c r="B2" s="8"/>
      <x:c r="C2" s="8"/>
      <x:c r="D2" s="8"/>
      <x:c r="E2" s="8"/>
      <x:c r="F2" s="8"/>
      <x:c r="G2" s="8"/>
      <x:c r="H2" s="8"/>
      <x:c r="I2" s="8"/>
    </x:row>
    <x:row r="4" ht="28" customHeight="1">
      <x:c r="A4" s="34" t="str">
        <x:v>문항</x:v>
      </x:c>
      <x:c r="B4" s="34" t="str">
        <x:v>영역</x:v>
      </x:c>
      <x:c r="C4" s="34" t="str">
        <x:v>범위</x:v>
      </x:c>
      <x:c r="D4" s="34" t="str">
        <x:v>문항 유형</x:v>
      </x:c>
      <x:c r="E4" s="34" t="str">
        <x:v>가능 점수</x:v>
      </x:c>
      <x:c r="F4" s="34" t="str">
        <x:v>숙달 구간</x:v>
      </x:c>
      <x:c r="G4" s="34" t="str">
        <x:v>학생 피드백</x:v>
      </x:c>
      <x:c r="H4" s="34" t="str">
        <x:v>학부모 피드백</x:v>
      </x:c>
      <x:c r="I4" s="34" t="str">
        <x:v>권장 활동</x:v>
      </x:c>
    </x:row>
    <x:row r="5" ht="34" customHeight="1">
      <x:c r="A5" s="26" t="str">
        <x:v>Q1</x:v>
      </x:c>
      <x:c r="B5" s="16" t="str">
        <x:v>결과·사건 순서 (Consequence)</x:v>
      </x:c>
      <x:c r="C5" s="16" t="str">
        <x:v>모든 v3 콘텐츠</x:v>
      </x:c>
      <x:c r="D5" s="16" t="str">
        <x:v>story_sequence_drag</x:v>
      </x:c>
      <x:c r="E5" s="52" t="n">
        <x:v>0</x:v>
      </x:c>
      <x:c r="F5" s="16" t="str">
        <x:f>IF(E5&gt;='전체 루브릭'!$C$5,"안정",IF(E5&gt;='전체 루브릭'!$C$6,"발달 중",IF(E5&gt;='전체 루브릭'!$C$7,"흔들림","집중 보완")))</x:f>
        <x:v>집중 보완</x:v>
      </x:c>
      <x:c r="G5" s="16" t="str">
        <x:v>가장 먼저 일어난 장면과 마지막 장면부터 찾아봅시다.</x:v>
      </x:c>
      <x:c r="H5" s="16" t="str">
        <x:v>사건 순서와 결과 연결에 집중 지원이 필요합니다.</x:v>
      </x:c>
      <x:c r="I5" s="16" t="str">
        <x:v>그림을 두 장씩 비교하며 ‘먼저/나중’을 말하게 해주세요.</x:v>
      </x:c>
    </x:row>
    <x:row r="6" ht="34" customHeight="1">
      <x:c r="A6" s="27" t="str">
        <x:v>Q1</x:v>
      </x:c>
      <x:c r="B6" s="17" t="str">
        <x:v>결과·사건 순서 (Consequence)</x:v>
      </x:c>
      <x:c r="C6" s="17" t="str">
        <x:v>모든 v3 콘텐츠</x:v>
      </x:c>
      <x:c r="D6" s="17" t="str">
        <x:v>story_sequence_drag</x:v>
      </x:c>
      <x:c r="E6" s="53" t="n">
        <x:v>8</x:v>
      </x:c>
      <x:c r="F6" s="17" t="str">
        <x:f>IF(E6&gt;='전체 루브릭'!$C$5,"안정",IF(E6&gt;='전체 루브릭'!$C$6,"발달 중",IF(E6&gt;='전체 루브릭'!$C$7,"흔들림","집중 보완")))</x:f>
        <x:v>집중 보완</x:v>
      </x:c>
      <x:c r="G6" s="17" t="str">
        <x:v>가장 먼저 일어난 장면과 마지막 장면부터 찾아봅시다.</x:v>
      </x:c>
      <x:c r="H6" s="17" t="str">
        <x:v>사건 순서와 결과 연결에 집중 지원이 필요합니다.</x:v>
      </x:c>
      <x:c r="I6" s="17" t="str">
        <x:v>그림을 두 장씩 비교하며 ‘먼저/나중’을 말하게 해주세요.</x:v>
      </x:c>
    </x:row>
    <x:row r="7" ht="34" customHeight="1">
      <x:c r="A7" s="27" t="str">
        <x:v>Q1</x:v>
      </x:c>
      <x:c r="B7" s="17" t="str">
        <x:v>결과·사건 순서 (Consequence)</x:v>
      </x:c>
      <x:c r="C7" s="17" t="str">
        <x:v>모든 v3 콘텐츠</x:v>
      </x:c>
      <x:c r="D7" s="17" t="str">
        <x:v>story_sequence_drag</x:v>
      </x:c>
      <x:c r="E7" s="53" t="n">
        <x:v>13</x:v>
      </x:c>
      <x:c r="F7" s="17" t="str">
        <x:f>IF(E7&gt;='전체 루브릭'!$C$5,"안정",IF(E7&gt;='전체 루브릭'!$C$6,"발달 중",IF(E7&gt;='전체 루브릭'!$C$7,"흔들림","집중 보완")))</x:f>
        <x:v>집중 보완</x:v>
      </x:c>
      <x:c r="G7" s="17" t="str">
        <x:v>가장 먼저 일어난 장면과 마지막 장면부터 찾아봅시다.</x:v>
      </x:c>
      <x:c r="H7" s="17" t="str">
        <x:v>사건 순서와 결과 연결에 집중 지원이 필요합니다.</x:v>
      </x:c>
      <x:c r="I7" s="17" t="str">
        <x:v>그림을 두 장씩 비교하며 ‘먼저/나중’을 말하게 해주세요.</x:v>
      </x:c>
    </x:row>
    <x:row r="8" ht="34" customHeight="1">
      <x:c r="A8" s="27" t="str">
        <x:v>Q1</x:v>
      </x:c>
      <x:c r="B8" s="17" t="str">
        <x:v>결과·사건 순서 (Consequence)</x:v>
      </x:c>
      <x:c r="C8" s="17" t="str">
        <x:v>모든 v3 콘텐츠</x:v>
      </x:c>
      <x:c r="D8" s="17" t="str">
        <x:v>story_sequence_drag</x:v>
      </x:c>
      <x:c r="E8" s="53" t="n">
        <x:v>16</x:v>
      </x:c>
      <x:c r="F8" s="17" t="str">
        <x:f>IF(E8&gt;='전체 루브릭'!$C$5,"안정",IF(E8&gt;='전체 루브릭'!$C$6,"발달 중",IF(E8&gt;='전체 루브릭'!$C$7,"흔들림","집중 보완")))</x:f>
        <x:v>집중 보완</x:v>
      </x:c>
      <x:c r="G8" s="17" t="str">
        <x:v>가장 먼저 일어난 장면과 마지막 장면부터 찾아봅시다.</x:v>
      </x:c>
      <x:c r="H8" s="17" t="str">
        <x:v>사건 순서와 결과 연결에 집중 지원이 필요합니다.</x:v>
      </x:c>
      <x:c r="I8" s="17" t="str">
        <x:v>그림을 두 장씩 비교하며 ‘먼저/나중’을 말하게 해주세요.</x:v>
      </x:c>
    </x:row>
    <x:row r="9" ht="34" customHeight="1">
      <x:c r="A9" s="27" t="str">
        <x:v>Q1</x:v>
      </x:c>
      <x:c r="B9" s="17" t="str">
        <x:v>결과·사건 순서 (Consequence)</x:v>
      </x:c>
      <x:c r="C9" s="17" t="str">
        <x:v>모든 v3 콘텐츠</x:v>
      </x:c>
      <x:c r="D9" s="17" t="str">
        <x:v>story_sequence_drag</x:v>
      </x:c>
      <x:c r="E9" s="53" t="n">
        <x:v>21</x:v>
      </x:c>
      <x:c r="F9" s="17" t="str">
        <x:f>IF(E9&gt;='전체 루브릭'!$C$5,"안정",IF(E9&gt;='전체 루브릭'!$C$6,"발달 중",IF(E9&gt;='전체 루브릭'!$C$7,"흔들림","집중 보완")))</x:f>
        <x:v>집중 보완</x:v>
      </x:c>
      <x:c r="G9" s="17" t="str">
        <x:v>가장 먼저 일어난 장면과 마지막 장면부터 찾아봅시다.</x:v>
      </x:c>
      <x:c r="H9" s="17" t="str">
        <x:v>사건 순서와 결과 연결에 집중 지원이 필요합니다.</x:v>
      </x:c>
      <x:c r="I9" s="17" t="str">
        <x:v>그림을 두 장씩 비교하며 ‘먼저/나중’을 말하게 해주세요.</x:v>
      </x:c>
    </x:row>
    <x:row r="10" ht="34" customHeight="1">
      <x:c r="A10" s="27" t="str">
        <x:v>Q1</x:v>
      </x:c>
      <x:c r="B10" s="17" t="str">
        <x:v>결과·사건 순서 (Consequence)</x:v>
      </x:c>
      <x:c r="C10" s="17" t="str">
        <x:v>모든 v3 콘텐츠</x:v>
      </x:c>
      <x:c r="D10" s="17" t="str">
        <x:v>story_sequence_drag</x:v>
      </x:c>
      <x:c r="E10" s="53" t="n">
        <x:v>24</x:v>
      </x:c>
      <x:c r="F10" s="17" t="str">
        <x:f>IF(E10&gt;='전체 루브릭'!$C$5,"안정",IF(E10&gt;='전체 루브릭'!$C$6,"발달 중",IF(E10&gt;='전체 루브릭'!$C$7,"흔들림","집중 보완")))</x:f>
        <x:v>집중 보완</x:v>
      </x:c>
      <x:c r="G10" s="17" t="str">
        <x:v>가장 먼저 일어난 장면과 마지막 장면부터 찾아봅시다.</x:v>
      </x:c>
      <x:c r="H10" s="17" t="str">
        <x:v>사건 순서와 결과 연결에 집중 지원이 필요합니다.</x:v>
      </x:c>
      <x:c r="I10" s="17" t="str">
        <x:v>그림을 두 장씩 비교하며 ‘먼저/나중’을 말하게 해주세요.</x:v>
      </x:c>
    </x:row>
    <x:row r="11" ht="34" customHeight="1">
      <x:c r="A11" s="27" t="str">
        <x:v>Q1</x:v>
      </x:c>
      <x:c r="B11" s="17" t="str">
        <x:v>결과·사건 순서 (Consequence)</x:v>
      </x:c>
      <x:c r="C11" s="17" t="str">
        <x:v>모든 v3 콘텐츠</x:v>
      </x:c>
      <x:c r="D11" s="17" t="str">
        <x:v>story_sequence_drag</x:v>
      </x:c>
      <x:c r="E11" s="53" t="n">
        <x:v>26</x:v>
      </x:c>
      <x:c r="F11" s="17" t="str">
        <x:f>IF(E11&gt;='전체 루브릭'!$C$5,"안정",IF(E11&gt;='전체 루브릭'!$C$6,"발달 중",IF(E11&gt;='전체 루브릭'!$C$7,"흔들림","집중 보완")))</x:f>
        <x:v>집중 보완</x:v>
      </x:c>
      <x:c r="G11" s="17" t="str">
        <x:v>가장 먼저 일어난 장면과 마지막 장면부터 찾아봅시다.</x:v>
      </x:c>
      <x:c r="H11" s="17" t="str">
        <x:v>사건 순서와 결과 연결에 집중 지원이 필요합니다.</x:v>
      </x:c>
      <x:c r="I11" s="17" t="str">
        <x:v>그림을 두 장씩 비교하며 ‘먼저/나중’을 말하게 해주세요.</x:v>
      </x:c>
    </x:row>
    <x:row r="12" ht="34" customHeight="1">
      <x:c r="A12" s="27" t="str">
        <x:v>Q1</x:v>
      </x:c>
      <x:c r="B12" s="17" t="str">
        <x:v>결과·사건 순서 (Consequence)</x:v>
      </x:c>
      <x:c r="C12" s="17" t="str">
        <x:v>모든 v3 콘텐츠</x:v>
      </x:c>
      <x:c r="D12" s="17" t="str">
        <x:v>story_sequence_drag</x:v>
      </x:c>
      <x:c r="E12" s="53" t="n">
        <x:v>29</x:v>
      </x:c>
      <x:c r="F12" s="17" t="str">
        <x:f>IF(E12&gt;='전체 루브릭'!$C$5,"안정",IF(E12&gt;='전체 루브릭'!$C$6,"발달 중",IF(E12&gt;='전체 루브릭'!$C$7,"흔들림","집중 보완")))</x:f>
        <x:v>집중 보완</x:v>
      </x:c>
      <x:c r="G12" s="17" t="str">
        <x:v>가장 먼저 일어난 장면과 마지막 장면부터 찾아봅시다.</x:v>
      </x:c>
      <x:c r="H12" s="17" t="str">
        <x:v>사건 순서와 결과 연결에 집중 지원이 필요합니다.</x:v>
      </x:c>
      <x:c r="I12" s="17" t="str">
        <x:v>그림을 두 장씩 비교하며 ‘먼저/나중’을 말하게 해주세요.</x:v>
      </x:c>
    </x:row>
    <x:row r="13" ht="34" customHeight="1">
      <x:c r="A13" s="27" t="str">
        <x:v>Q1</x:v>
      </x:c>
      <x:c r="B13" s="17" t="str">
        <x:v>결과·사건 순서 (Consequence)</x:v>
      </x:c>
      <x:c r="C13" s="17" t="str">
        <x:v>모든 v3 콘텐츠</x:v>
      </x:c>
      <x:c r="D13" s="17" t="str">
        <x:v>story_sequence_drag</x:v>
      </x:c>
      <x:c r="E13" s="53" t="n">
        <x:v>32</x:v>
      </x:c>
      <x:c r="F13" s="17" t="str">
        <x:f>IF(E13&gt;='전체 루브릭'!$C$5,"안정",IF(E13&gt;='전체 루브릭'!$C$6,"발달 중",IF(E13&gt;='전체 루브릭'!$C$7,"흔들림","집중 보완")))</x:f>
        <x:v>집중 보완</x:v>
      </x:c>
      <x:c r="G13" s="17" t="str">
        <x:v>가장 먼저 일어난 장면과 마지막 장면부터 찾아봅시다.</x:v>
      </x:c>
      <x:c r="H13" s="17" t="str">
        <x:v>사건 순서와 결과 연결에 집중 지원이 필요합니다.</x:v>
      </x:c>
      <x:c r="I13" s="17" t="str">
        <x:v>그림을 두 장씩 비교하며 ‘먼저/나중’을 말하게 해주세요.</x:v>
      </x:c>
    </x:row>
    <x:row r="14" ht="34" customHeight="1">
      <x:c r="A14" s="27" t="str">
        <x:v>Q1</x:v>
      </x:c>
      <x:c r="B14" s="17" t="str">
        <x:v>결과·사건 순서 (Consequence)</x:v>
      </x:c>
      <x:c r="C14" s="17" t="str">
        <x:v>모든 v3 콘텐츠</x:v>
      </x:c>
      <x:c r="D14" s="17" t="str">
        <x:v>story_sequence_drag</x:v>
      </x:c>
      <x:c r="E14" s="53" t="n">
        <x:v>34</x:v>
      </x:c>
      <x:c r="F14" s="17" t="str">
        <x:f>IF(E14&gt;='전체 루브릭'!$C$5,"안정",IF(E14&gt;='전체 루브릭'!$C$6,"발달 중",IF(E14&gt;='전체 루브릭'!$C$7,"흔들림","집중 보완")))</x:f>
        <x:v>집중 보완</x:v>
      </x:c>
      <x:c r="G14" s="17" t="str">
        <x:v>가장 먼저 일어난 장면과 마지막 장면부터 찾아봅시다.</x:v>
      </x:c>
      <x:c r="H14" s="17" t="str">
        <x:v>사건 순서와 결과 연결에 집중 지원이 필요합니다.</x:v>
      </x:c>
      <x:c r="I14" s="17" t="str">
        <x:v>그림을 두 장씩 비교하며 ‘먼저/나중’을 말하게 해주세요.</x:v>
      </x:c>
    </x:row>
    <x:row r="15" ht="34" customHeight="1">
      <x:c r="A15" s="27" t="str">
        <x:v>Q1</x:v>
      </x:c>
      <x:c r="B15" s="17" t="str">
        <x:v>결과·사건 순서 (Consequence)</x:v>
      </x:c>
      <x:c r="C15" s="17" t="str">
        <x:v>모든 v3 콘텐츠</x:v>
      </x:c>
      <x:c r="D15" s="17" t="str">
        <x:v>story_sequence_drag</x:v>
      </x:c>
      <x:c r="E15" s="53" t="n">
        <x:v>37</x:v>
      </x:c>
      <x:c r="F15" s="17" t="str">
        <x:f>IF(E15&gt;='전체 루브릭'!$C$5,"안정",IF(E15&gt;='전체 루브릭'!$C$6,"발달 중",IF(E15&gt;='전체 루브릭'!$C$7,"흔들림","집중 보완")))</x:f>
        <x:v>집중 보완</x:v>
      </x:c>
      <x:c r="G15" s="17" t="str">
        <x:v>가장 먼저 일어난 장면과 마지막 장면부터 찾아봅시다.</x:v>
      </x:c>
      <x:c r="H15" s="17" t="str">
        <x:v>사건 순서와 결과 연결에 집중 지원이 필요합니다.</x:v>
      </x:c>
      <x:c r="I15" s="17" t="str">
        <x:v>그림을 두 장씩 비교하며 ‘먼저/나중’을 말하게 해주세요.</x:v>
      </x:c>
    </x:row>
    <x:row r="16" ht="34" customHeight="1">
      <x:c r="A16" s="27" t="str">
        <x:v>Q1</x:v>
      </x:c>
      <x:c r="B16" s="17" t="str">
        <x:v>결과·사건 순서 (Consequence)</x:v>
      </x:c>
      <x:c r="C16" s="17" t="str">
        <x:v>모든 v3 콘텐츠</x:v>
      </x:c>
      <x:c r="D16" s="17" t="str">
        <x:v>story_sequence_drag</x:v>
      </x:c>
      <x:c r="E16" s="53" t="n">
        <x:v>39</x:v>
      </x:c>
      <x:c r="F16" s="17" t="str">
        <x:f>IF(E16&gt;='전체 루브릭'!$C$5,"안정",IF(E16&gt;='전체 루브릭'!$C$6,"발달 중",IF(E16&gt;='전체 루브릭'!$C$7,"흔들림","집중 보완")))</x:f>
        <x:v>집중 보완</x:v>
      </x:c>
      <x:c r="G16" s="17" t="str">
        <x:v>가장 먼저 일어난 장면과 마지막 장면부터 찾아봅시다.</x:v>
      </x:c>
      <x:c r="H16" s="17" t="str">
        <x:v>사건 순서와 결과 연결에 집중 지원이 필요합니다.</x:v>
      </x:c>
      <x:c r="I16" s="17" t="str">
        <x:v>그림을 두 장씩 비교하며 ‘먼저/나중’을 말하게 해주세요.</x:v>
      </x:c>
    </x:row>
    <x:row r="17" ht="34" customHeight="1">
      <x:c r="A17" s="27" t="str">
        <x:v>Q1</x:v>
      </x:c>
      <x:c r="B17" s="17" t="str">
        <x:v>결과·사건 순서 (Consequence)</x:v>
      </x:c>
      <x:c r="C17" s="17" t="str">
        <x:v>모든 v3 콘텐츠</x:v>
      </x:c>
      <x:c r="D17" s="17" t="str">
        <x:v>story_sequence_drag</x:v>
      </x:c>
      <x:c r="E17" s="53" t="n">
        <x:v>42</x:v>
      </x:c>
      <x:c r="F17" s="17" t="str">
        <x:f>IF(E17&gt;='전체 루브릭'!$C$5,"안정",IF(E17&gt;='전체 루브릭'!$C$6,"발달 중",IF(E17&gt;='전체 루브릭'!$C$7,"흔들림","집중 보완")))</x:f>
        <x:v>집중 보완</x:v>
      </x:c>
      <x:c r="G17" s="17" t="str">
        <x:v>가장 먼저 일어난 장면과 마지막 장면부터 찾아봅시다.</x:v>
      </x:c>
      <x:c r="H17" s="17" t="str">
        <x:v>사건 순서와 결과 연결에 집중 지원이 필요합니다.</x:v>
      </x:c>
      <x:c r="I17" s="17" t="str">
        <x:v>그림을 두 장씩 비교하며 ‘먼저/나중’을 말하게 해주세요.</x:v>
      </x:c>
    </x:row>
    <x:row r="18" ht="34" customHeight="1">
      <x:c r="A18" s="27" t="str">
        <x:v>Q1</x:v>
      </x:c>
      <x:c r="B18" s="17" t="str">
        <x:v>결과·사건 순서 (Consequence)</x:v>
      </x:c>
      <x:c r="C18" s="17" t="str">
        <x:v>모든 v3 콘텐츠</x:v>
      </x:c>
      <x:c r="D18" s="17" t="str">
        <x:v>story_sequence_drag</x:v>
      </x:c>
      <x:c r="E18" s="53" t="n">
        <x:v>45</x:v>
      </x:c>
      <x:c r="F18" s="17" t="str">
        <x:f>IF(E18&gt;='전체 루브릭'!$C$5,"안정",IF(E18&gt;='전체 루브릭'!$C$6,"발달 중",IF(E18&gt;='전체 루브릭'!$C$7,"흔들림","집중 보완")))</x:f>
        <x:v>집중 보완</x:v>
      </x:c>
      <x:c r="G18" s="17" t="str">
        <x:v>가장 먼저 일어난 장면과 마지막 장면부터 찾아봅시다.</x:v>
      </x:c>
      <x:c r="H18" s="17" t="str">
        <x:v>사건 순서와 결과 연결에 집중 지원이 필요합니다.</x:v>
      </x:c>
      <x:c r="I18" s="17" t="str">
        <x:v>그림을 두 장씩 비교하며 ‘먼저/나중’을 말하게 해주세요.</x:v>
      </x:c>
    </x:row>
    <x:row r="19" ht="34" customHeight="1">
      <x:c r="A19" s="27" t="str">
        <x:v>Q1</x:v>
      </x:c>
      <x:c r="B19" s="17" t="str">
        <x:v>결과·사건 순서 (Consequence)</x:v>
      </x:c>
      <x:c r="C19" s="17" t="str">
        <x:v>모든 v3 콘텐츠</x:v>
      </x:c>
      <x:c r="D19" s="17" t="str">
        <x:v>story_sequence_drag</x:v>
      </x:c>
      <x:c r="E19" s="53" t="n">
        <x:v>47</x:v>
      </x:c>
      <x:c r="F19" s="17" t="str">
        <x:f>IF(E19&gt;='전체 루브릭'!$C$5,"안정",IF(E19&gt;='전체 루브릭'!$C$6,"발달 중",IF(E19&gt;='전체 루브릭'!$C$7,"흔들림","집중 보완")))</x:f>
        <x:v>집중 보완</x:v>
      </x:c>
      <x:c r="G19" s="17" t="str">
        <x:v>가장 먼저 일어난 장면과 마지막 장면부터 찾아봅시다.</x:v>
      </x:c>
      <x:c r="H19" s="17" t="str">
        <x:v>사건 순서와 결과 연결에 집중 지원이 필요합니다.</x:v>
      </x:c>
      <x:c r="I19" s="17" t="str">
        <x:v>그림을 두 장씩 비교하며 ‘먼저/나중’을 말하게 해주세요.</x:v>
      </x:c>
    </x:row>
    <x:row r="20" ht="34" customHeight="1">
      <x:c r="A20" s="27" t="str">
        <x:v>Q1</x:v>
      </x:c>
      <x:c r="B20" s="17" t="str">
        <x:v>결과·사건 순서 (Consequence)</x:v>
      </x:c>
      <x:c r="C20" s="17" t="str">
        <x:v>모든 v3 콘텐츠</x:v>
      </x:c>
      <x:c r="D20" s="17" t="str">
        <x:v>story_sequence_drag</x:v>
      </x:c>
      <x:c r="E20" s="53" t="n">
        <x:v>50</x:v>
      </x:c>
      <x:c r="F20" s="17" t="str">
        <x:f>IF(E20&gt;='전체 루브릭'!$C$5,"안정",IF(E20&gt;='전체 루브릭'!$C$6,"발달 중",IF(E20&gt;='전체 루브릭'!$C$7,"흔들림","집중 보완")))</x:f>
        <x:v>흔들림</x:v>
      </x:c>
      <x:c r="G20" s="17" t="str">
        <x:v>처음과 마지막 단서를 먼저 찾고 중간 장면을 이어 보세요.</x:v>
      </x:c>
      <x:c r="H20" s="17" t="str">
        <x:v>일부 사건은 파악했으나 원인-행동-결과 연결이 충분하지 않습니다.</x:v>
      </x:c>
      <x:c r="I20" s="17" t="str">
        <x:v>첫 장면과 마지막 장면을 고정한 뒤 중간 3개만 재배열하세요.</x:v>
      </x:c>
    </x:row>
    <x:row r="21" ht="34" customHeight="1">
      <x:c r="A21" s="27" t="str">
        <x:v>Q1</x:v>
      </x:c>
      <x:c r="B21" s="17" t="str">
        <x:v>결과·사건 순서 (Consequence)</x:v>
      </x:c>
      <x:c r="C21" s="17" t="str">
        <x:v>모든 v3 콘텐츠</x:v>
      </x:c>
      <x:c r="D21" s="17" t="str">
        <x:v>story_sequence_drag</x:v>
      </x:c>
      <x:c r="E21" s="53" t="n">
        <x:v>55</x:v>
      </x:c>
      <x:c r="F21" s="17" t="str">
        <x:f>IF(E21&gt;='전체 루브릭'!$C$5,"안정",IF(E21&gt;='전체 루브릭'!$C$6,"발달 중",IF(E21&gt;='전체 루브릭'!$C$7,"흔들림","집중 보완")))</x:f>
        <x:v>흔들림</x:v>
      </x:c>
      <x:c r="G21" s="17" t="str">
        <x:v>처음과 마지막 단서를 먼저 찾고 중간 장면을 이어 보세요.</x:v>
      </x:c>
      <x:c r="H21" s="17" t="str">
        <x:v>일부 사건은 파악했으나 원인-행동-결과 연결이 충분하지 않습니다.</x:v>
      </x:c>
      <x:c r="I21" s="17" t="str">
        <x:v>첫 장면과 마지막 장면을 고정한 뒤 중간 3개만 재배열하세요.</x:v>
      </x:c>
    </x:row>
    <x:row r="22" ht="34" customHeight="1">
      <x:c r="A22" s="27" t="str">
        <x:v>Q1</x:v>
      </x:c>
      <x:c r="B22" s="17" t="str">
        <x:v>결과·사건 순서 (Consequence)</x:v>
      </x:c>
      <x:c r="C22" s="17" t="str">
        <x:v>모든 v3 콘텐츠</x:v>
      </x:c>
      <x:c r="D22" s="17" t="str">
        <x:v>story_sequence_drag</x:v>
      </x:c>
      <x:c r="E22" s="53" t="n">
        <x:v>58</x:v>
      </x:c>
      <x:c r="F22" s="17" t="str">
        <x:f>IF(E22&gt;='전체 루브릭'!$C$5,"안정",IF(E22&gt;='전체 루브릭'!$C$6,"발달 중",IF(E22&gt;='전체 루브릭'!$C$7,"흔들림","집중 보완")))</x:f>
        <x:v>흔들림</x:v>
      </x:c>
      <x:c r="G22" s="17" t="str">
        <x:v>처음과 마지막 단서를 먼저 찾고 중간 장면을 이어 보세요.</x:v>
      </x:c>
      <x:c r="H22" s="17" t="str">
        <x:v>일부 사건은 파악했으나 원인-행동-결과 연결이 충분하지 않습니다.</x:v>
      </x:c>
      <x:c r="I22" s="17" t="str">
        <x:v>첫 장면과 마지막 장면을 고정한 뒤 중간 3개만 재배열하세요.</x:v>
      </x:c>
    </x:row>
    <x:row r="23" ht="34" customHeight="1">
      <x:c r="A23" s="27" t="str">
        <x:v>Q1</x:v>
      </x:c>
      <x:c r="B23" s="17" t="str">
        <x:v>결과·사건 순서 (Consequence)</x:v>
      </x:c>
      <x:c r="C23" s="17" t="str">
        <x:v>모든 v3 콘텐츠</x:v>
      </x:c>
      <x:c r="D23" s="17" t="str">
        <x:v>story_sequence_drag</x:v>
      </x:c>
      <x:c r="E23" s="53" t="n">
        <x:v>63</x:v>
      </x:c>
      <x:c r="F23" s="17" t="str">
        <x:f>IF(E23&gt;='전체 루브릭'!$C$5,"안정",IF(E23&gt;='전체 루브릭'!$C$6,"발달 중",IF(E23&gt;='전체 루브릭'!$C$7,"흔들림","집중 보완")))</x:f>
        <x:v>흔들림</x:v>
      </x:c>
      <x:c r="G23" s="17" t="str">
        <x:v>처음과 마지막 단서를 먼저 찾고 중간 장면을 이어 보세요.</x:v>
      </x:c>
      <x:c r="H23" s="17" t="str">
        <x:v>일부 사건은 파악했으나 원인-행동-결과 연결이 충분하지 않습니다.</x:v>
      </x:c>
      <x:c r="I23" s="17" t="str">
        <x:v>첫 장면과 마지막 장면을 고정한 뒤 중간 3개만 재배열하세요.</x:v>
      </x:c>
    </x:row>
    <x:row r="24" ht="34" customHeight="1">
      <x:c r="A24" s="27" t="str">
        <x:v>Q1</x:v>
      </x:c>
      <x:c r="B24" s="17" t="str">
        <x:v>결과·사건 순서 (Consequence)</x:v>
      </x:c>
      <x:c r="C24" s="17" t="str">
        <x:v>모든 v3 콘텐츠</x:v>
      </x:c>
      <x:c r="D24" s="17" t="str">
        <x:v>story_sequence_drag</x:v>
      </x:c>
      <x:c r="E24" s="53" t="n">
        <x:v>68</x:v>
      </x:c>
      <x:c r="F24" s="17" t="str">
        <x:f>IF(E24&gt;='전체 루브릭'!$C$5,"안정",IF(E24&gt;='전체 루브릭'!$C$6,"발달 중",IF(E24&gt;='전체 루브릭'!$C$7,"흔들림","집중 보완")))</x:f>
        <x:v>흔들림</x:v>
      </x:c>
      <x:c r="G24" s="17" t="str">
        <x:v>처음과 마지막 단서를 먼저 찾고 중간 장면을 이어 보세요.</x:v>
      </x:c>
      <x:c r="H24" s="17" t="str">
        <x:v>일부 사건은 파악했으나 원인-행동-결과 연결이 충분하지 않습니다.</x:v>
      </x:c>
      <x:c r="I24" s="17" t="str">
        <x:v>첫 장면과 마지막 장면을 고정한 뒤 중간 3개만 재배열하세요.</x:v>
      </x:c>
    </x:row>
    <x:row r="25" ht="34" customHeight="1">
      <x:c r="A25" s="27" t="str">
        <x:v>Q1</x:v>
      </x:c>
      <x:c r="B25" s="17" t="str">
        <x:v>결과·사건 순서 (Consequence)</x:v>
      </x:c>
      <x:c r="C25" s="17" t="str">
        <x:v>모든 v3 콘텐츠</x:v>
      </x:c>
      <x:c r="D25" s="17" t="str">
        <x:v>story_sequence_drag</x:v>
      </x:c>
      <x:c r="E25" s="53" t="n">
        <x:v>79</x:v>
      </x:c>
      <x:c r="F25" s="17" t="str">
        <x:f>IF(E25&gt;='전체 루브릭'!$C$5,"안정",IF(E25&gt;='전체 루브릭'!$C$6,"발달 중",IF(E25&gt;='전체 루브릭'!$C$7,"흔들림","집중 보완")))</x:f>
        <x:v>발달 중</x:v>
      </x:c>
      <x:c r="G25" s="17" t="str">
        <x:v>전체 흐름은 잘 잡았어요. 가까이 바뀐 장면의 앞뒤를 다시 확인해 보세요.</x:v>
      </x:c>
      <x:c r="H25" s="17" t="str">
        <x:v>큰 사건 흐름은 이해했으나 인접 장면의 순서가 일부 흔들렸습니다.</x:v>
      </x:c>
      <x:c r="I25" s="17" t="str">
        <x:v>바뀐 두 장면 사이에 ‘그래서/그다음’을 넣어 말해 보세요.</x:v>
      </x:c>
    </x:row>
    <x:row r="26" ht="34" customHeight="1">
      <x:c r="A26" s="27" t="str">
        <x:v>Q1</x:v>
      </x:c>
      <x:c r="B26" s="17" t="str">
        <x:v>결과·사건 순서 (Consequence)</x:v>
      </x:c>
      <x:c r="C26" s="17" t="str">
        <x:v>모든 v3 콘텐츠</x:v>
      </x:c>
      <x:c r="D26" s="17" t="str">
        <x:v>story_sequence_drag</x:v>
      </x:c>
      <x:c r="E26" s="53" t="n">
        <x:v>84</x:v>
      </x:c>
      <x:c r="F26" s="17" t="str">
        <x:f>IF(E26&gt;='전체 루브릭'!$C$5,"안정",IF(E26&gt;='전체 루브릭'!$C$6,"발달 중",IF(E26&gt;='전체 루브릭'!$C$7,"흔들림","집중 보완")))</x:f>
        <x:v>발달 중</x:v>
      </x:c>
      <x:c r="G26" s="17" t="str">
        <x:v>전체 흐름은 잘 잡았어요. 가까이 바뀐 장면의 앞뒤를 다시 확인해 보세요.</x:v>
      </x:c>
      <x:c r="H26" s="17" t="str">
        <x:v>큰 사건 흐름은 이해했으나 인접 장면의 순서가 일부 흔들렸습니다.</x:v>
      </x:c>
      <x:c r="I26" s="17" t="str">
        <x:v>바뀐 두 장면 사이에 ‘그래서/그다음’을 넣어 말해 보세요.</x:v>
      </x:c>
    </x:row>
    <x:row r="27" ht="34" customHeight="1">
      <x:c r="A27" s="27" t="str">
        <x:v>Q1</x:v>
      </x:c>
      <x:c r="B27" s="17" t="str">
        <x:v>결과·사건 순서 (Consequence)</x:v>
      </x:c>
      <x:c r="C27" s="17" t="str">
        <x:v>모든 v3 콘텐츠</x:v>
      </x:c>
      <x:c r="D27" s="17" t="str">
        <x:v>story_sequence_drag</x:v>
      </x:c>
      <x:c r="E27" s="53" t="n">
        <x:v>100</x:v>
      </x:c>
      <x:c r="F27" s="17" t="str">
        <x:f>IF(E27&gt;='전체 루브릭'!$C$5,"안정",IF(E27&gt;='전체 루브릭'!$C$6,"발달 중",IF(E27&gt;='전체 루브릭'!$C$7,"흔들림","집중 보완")))</x:f>
        <x:v>안정</x:v>
      </x:c>
      <x:c r="G27" s="17" t="str">
        <x:v>사건 5개를 정확한 흐름으로 배열했어요.</x:v>
      </x:c>
      <x:c r="H27" s="17" t="str">
        <x:v>이야기의 시작·전개·결과를 안정적으로 연결했습니다.</x:v>
      </x:c>
      <x:c r="I27" s="17" t="str">
        <x:v>다른 이야기를 읽고 핵심 장면 5개를 직접 골라 배열해 보세요.</x:v>
      </x:c>
    </x:row>
    <x:row r="28" ht="34" customHeight="1">
      <x:c r="A28" s="27" t="str">
        <x:v>Q2</x:v>
      </x:c>
      <x:c r="B28" s="17" t="str">
        <x:v>배경 (Setting)</x:v>
      </x:c>
      <x:c r="C28" s="17" t="str">
        <x:v>모든 v3 콘텐츠</x:v>
      </x:c>
      <x:c r="D28" s="17" t="str">
        <x:v>setting_slot_drag</x:v>
      </x:c>
      <x:c r="E28" s="53" t="n">
        <x:v>0</x:v>
      </x:c>
      <x:c r="F28" s="17" t="str">
        <x:f>IF(E28&gt;='전체 루브릭'!$C$5,"안정",IF(E28&gt;='전체 루브릭'!$C$6,"발달 중",IF(E28&gt;='전체 루브릭'!$C$7,"흔들림","집중 보완")))</x:f>
        <x:v>집중 보완</x:v>
      </x:c>
      <x:c r="G28" s="17" t="str">
        <x:v>먼저 주인공을 찾고, 그다음 장소를 찾아봅시다.</x:v>
      </x:c>
      <x:c r="H28" s="17" t="str">
        <x:v>시작 배경 요소를 구분하는 데 집중 보완이 필요합니다.</x:v>
      </x:c>
      <x:c r="I28" s="17" t="str">
        <x:v>그림을 보며 ‘누가/어디서/처음에’ 질문을 한 번에 하나씩 제시하세요.</x:v>
      </x:c>
    </x:row>
    <x:row r="29" ht="34" customHeight="1">
      <x:c r="A29" s="27" t="str">
        <x:v>Q2</x:v>
      </x:c>
      <x:c r="B29" s="17" t="str">
        <x:v>배경 (Setting)</x:v>
      </x:c>
      <x:c r="C29" s="17" t="str">
        <x:v>모든 v3 콘텐츠</x:v>
      </x:c>
      <x:c r="D29" s="17" t="str">
        <x:v>setting_slot_drag</x:v>
      </x:c>
      <x:c r="E29" s="53" t="n">
        <x:v>9</x:v>
      </x:c>
      <x:c r="F29" s="17" t="str">
        <x:f>IF(E29&gt;='전체 루브릭'!$C$5,"안정",IF(E29&gt;='전체 루브릭'!$C$6,"발달 중",IF(E29&gt;='전체 루브릭'!$C$7,"흔들림","집중 보완")))</x:f>
        <x:v>집중 보완</x:v>
      </x:c>
      <x:c r="G29" s="17" t="str">
        <x:v>먼저 주인공을 찾고, 그다음 장소를 찾아봅시다.</x:v>
      </x:c>
      <x:c r="H29" s="17" t="str">
        <x:v>시작 배경 요소를 구분하는 데 집중 보완이 필요합니다.</x:v>
      </x:c>
      <x:c r="I29" s="17" t="str">
        <x:v>그림을 보며 ‘누가/어디서/처음에’ 질문을 한 번에 하나씩 제시하세요.</x:v>
      </x:c>
    </x:row>
    <x:row r="30" ht="34" customHeight="1">
      <x:c r="A30" s="27" t="str">
        <x:v>Q2</x:v>
      </x:c>
      <x:c r="B30" s="17" t="str">
        <x:v>배경 (Setting)</x:v>
      </x:c>
      <x:c r="C30" s="17" t="str">
        <x:v>모든 v3 콘텐츠</x:v>
      </x:c>
      <x:c r="D30" s="17" t="str">
        <x:v>setting_slot_drag</x:v>
      </x:c>
      <x:c r="E30" s="53" t="n">
        <x:v>12</x:v>
      </x:c>
      <x:c r="F30" s="17" t="str">
        <x:f>IF(E30&gt;='전체 루브릭'!$C$5,"안정",IF(E30&gt;='전체 루브릭'!$C$6,"발달 중",IF(E30&gt;='전체 루브릭'!$C$7,"흔들림","집중 보완")))</x:f>
        <x:v>집중 보완</x:v>
      </x:c>
      <x:c r="G30" s="17" t="str">
        <x:v>먼저 주인공을 찾고, 그다음 장소를 찾아봅시다.</x:v>
      </x:c>
      <x:c r="H30" s="17" t="str">
        <x:v>시작 배경 요소를 구분하는 데 집중 보완이 필요합니다.</x:v>
      </x:c>
      <x:c r="I30" s="17" t="str">
        <x:v>그림을 보며 ‘누가/어디서/처음에’ 질문을 한 번에 하나씩 제시하세요.</x:v>
      </x:c>
    </x:row>
    <x:row r="31" ht="34" customHeight="1">
      <x:c r="A31" s="27" t="str">
        <x:v>Q2</x:v>
      </x:c>
      <x:c r="B31" s="17" t="str">
        <x:v>배경 (Setting)</x:v>
      </x:c>
      <x:c r="C31" s="17" t="str">
        <x:v>모든 v3 콘텐츠</x:v>
      </x:c>
      <x:c r="D31" s="17" t="str">
        <x:v>setting_slot_drag</x:v>
      </x:c>
      <x:c r="E31" s="53" t="n">
        <x:v>15</x:v>
      </x:c>
      <x:c r="F31" s="17" t="str">
        <x:f>IF(E31&gt;='전체 루브릭'!$C$5,"안정",IF(E31&gt;='전체 루브릭'!$C$6,"발달 중",IF(E31&gt;='전체 루브릭'!$C$7,"흔들림","집중 보완")))</x:f>
        <x:v>집중 보완</x:v>
      </x:c>
      <x:c r="G31" s="17" t="str">
        <x:v>먼저 주인공을 찾고, 그다음 장소를 찾아봅시다.</x:v>
      </x:c>
      <x:c r="H31" s="17" t="str">
        <x:v>시작 배경 요소를 구분하는 데 집중 보완이 필요합니다.</x:v>
      </x:c>
      <x:c r="I31" s="17" t="str">
        <x:v>그림을 보며 ‘누가/어디서/처음에’ 질문을 한 번에 하나씩 제시하세요.</x:v>
      </x:c>
    </x:row>
    <x:row r="32" ht="34" customHeight="1">
      <x:c r="A32" s="27" t="str">
        <x:v>Q2</x:v>
      </x:c>
      <x:c r="B32" s="17" t="str">
        <x:v>배경 (Setting)</x:v>
      </x:c>
      <x:c r="C32" s="17" t="str">
        <x:v>모든 v3 콘텐츠</x:v>
      </x:c>
      <x:c r="D32" s="17" t="str">
        <x:v>setting_slot_drag</x:v>
      </x:c>
      <x:c r="E32" s="53" t="n">
        <x:v>20</x:v>
      </x:c>
      <x:c r="F32" s="17" t="str">
        <x:f>IF(E32&gt;='전체 루브릭'!$C$5,"안정",IF(E32&gt;='전체 루브릭'!$C$6,"발달 중",IF(E32&gt;='전체 루브릭'!$C$7,"흔들림","집중 보완")))</x:f>
        <x:v>집중 보완</x:v>
      </x:c>
      <x:c r="G32" s="17" t="str">
        <x:v>먼저 주인공을 찾고, 그다음 장소를 찾아봅시다.</x:v>
      </x:c>
      <x:c r="H32" s="17" t="str">
        <x:v>시작 배경 요소를 구분하는 데 집중 보완이 필요합니다.</x:v>
      </x:c>
      <x:c r="I32" s="17" t="str">
        <x:v>그림을 보며 ‘누가/어디서/처음에’ 질문을 한 번에 하나씩 제시하세요.</x:v>
      </x:c>
    </x:row>
    <x:row r="33" ht="34" customHeight="1">
      <x:c r="A33" s="27" t="str">
        <x:v>Q2</x:v>
      </x:c>
      <x:c r="B33" s="17" t="str">
        <x:v>배경 (Setting)</x:v>
      </x:c>
      <x:c r="C33" s="17" t="str">
        <x:v>모든 v3 콘텐츠</x:v>
      </x:c>
      <x:c r="D33" s="17" t="str">
        <x:v>setting_slot_drag</x:v>
      </x:c>
      <x:c r="E33" s="53" t="n">
        <x:v>23</x:v>
      </x:c>
      <x:c r="F33" s="17" t="str">
        <x:f>IF(E33&gt;='전체 루브릭'!$C$5,"안정",IF(E33&gt;='전체 루브릭'!$C$6,"발달 중",IF(E33&gt;='전체 루브릭'!$C$7,"흔들림","집중 보완")))</x:f>
        <x:v>집중 보완</x:v>
      </x:c>
      <x:c r="G33" s="17" t="str">
        <x:v>먼저 주인공을 찾고, 그다음 장소를 찾아봅시다.</x:v>
      </x:c>
      <x:c r="H33" s="17" t="str">
        <x:v>시작 배경 요소를 구분하는 데 집중 보완이 필요합니다.</x:v>
      </x:c>
      <x:c r="I33" s="17" t="str">
        <x:v>그림을 보며 ‘누가/어디서/처음에’ 질문을 한 번에 하나씩 제시하세요.</x:v>
      </x:c>
    </x:row>
    <x:row r="34" ht="34" customHeight="1">
      <x:c r="A34" s="27" t="str">
        <x:v>Q2</x:v>
      </x:c>
      <x:c r="B34" s="17" t="str">
        <x:v>배경 (Setting)</x:v>
      </x:c>
      <x:c r="C34" s="17" t="str">
        <x:v>모든 v3 콘텐츠</x:v>
      </x:c>
      <x:c r="D34" s="17" t="str">
        <x:v>setting_slot_drag</x:v>
      </x:c>
      <x:c r="E34" s="53" t="n">
        <x:v>25</x:v>
      </x:c>
      <x:c r="F34" s="17" t="str">
        <x:f>IF(E34&gt;='전체 루브릭'!$C$5,"안정",IF(E34&gt;='전체 루브릭'!$C$6,"발달 중",IF(E34&gt;='전체 루브릭'!$C$7,"흔들림","집중 보완")))</x:f>
        <x:v>집중 보완</x:v>
      </x:c>
      <x:c r="G34" s="17" t="str">
        <x:v>먼저 주인공을 찾고, 그다음 장소를 찾아봅시다.</x:v>
      </x:c>
      <x:c r="H34" s="17" t="str">
        <x:v>시작 배경 요소를 구분하는 데 집중 보완이 필요합니다.</x:v>
      </x:c>
      <x:c r="I34" s="17" t="str">
        <x:v>그림을 보며 ‘누가/어디서/처음에’ 질문을 한 번에 하나씩 제시하세요.</x:v>
      </x:c>
    </x:row>
    <x:row r="35" ht="34" customHeight="1">
      <x:c r="A35" s="27" t="str">
        <x:v>Q2</x:v>
      </x:c>
      <x:c r="B35" s="17" t="str">
        <x:v>배경 (Setting)</x:v>
      </x:c>
      <x:c r="C35" s="17" t="str">
        <x:v>모든 v3 콘텐츠</x:v>
      </x:c>
      <x:c r="D35" s="17" t="str">
        <x:v>setting_slot_drag</x:v>
      </x:c>
      <x:c r="E35" s="53" t="n">
        <x:v>26</x:v>
      </x:c>
      <x:c r="F35" s="17" t="str">
        <x:f>IF(E35&gt;='전체 루브릭'!$C$5,"안정",IF(E35&gt;='전체 루브릭'!$C$6,"발달 중",IF(E35&gt;='전체 루브릭'!$C$7,"흔들림","집중 보완")))</x:f>
        <x:v>집중 보완</x:v>
      </x:c>
      <x:c r="G35" s="17" t="str">
        <x:v>먼저 주인공을 찾고, 그다음 장소를 찾아봅시다.</x:v>
      </x:c>
      <x:c r="H35" s="17" t="str">
        <x:v>시작 배경 요소를 구분하는 데 집중 보완이 필요합니다.</x:v>
      </x:c>
      <x:c r="I35" s="17" t="str">
        <x:v>그림을 보며 ‘누가/어디서/처음에’ 질문을 한 번에 하나씩 제시하세요.</x:v>
      </x:c>
    </x:row>
    <x:row r="36" ht="34" customHeight="1">
      <x:c r="A36" s="27" t="str">
        <x:v>Q2</x:v>
      </x:c>
      <x:c r="B36" s="17" t="str">
        <x:v>배경 (Setting)</x:v>
      </x:c>
      <x:c r="C36" s="17" t="str">
        <x:v>모든 v3 콘텐츠</x:v>
      </x:c>
      <x:c r="D36" s="17" t="str">
        <x:v>setting_slot_drag</x:v>
      </x:c>
      <x:c r="E36" s="53" t="n">
        <x:v>33</x:v>
      </x:c>
      <x:c r="F36" s="17" t="str">
        <x:f>IF(E36&gt;='전체 루브릭'!$C$5,"안정",IF(E36&gt;='전체 루브릭'!$C$6,"발달 중",IF(E36&gt;='전체 루브릭'!$C$7,"흔들림","집중 보완")))</x:f>
        <x:v>집중 보완</x:v>
      </x:c>
      <x:c r="G36" s="17" t="str">
        <x:v>먼저 주인공을 찾고, 그다음 장소를 찾아봅시다.</x:v>
      </x:c>
      <x:c r="H36" s="17" t="str">
        <x:v>시작 배경 요소를 구분하는 데 집중 보완이 필요합니다.</x:v>
      </x:c>
      <x:c r="I36" s="17" t="str">
        <x:v>그림을 보며 ‘누가/어디서/처음에’ 질문을 한 번에 하나씩 제시하세요.</x:v>
      </x:c>
    </x:row>
    <x:row r="37" ht="34" customHeight="1">
      <x:c r="A37" s="27" t="str">
        <x:v>Q2</x:v>
      </x:c>
      <x:c r="B37" s="17" t="str">
        <x:v>배경 (Setting)</x:v>
      </x:c>
      <x:c r="C37" s="17" t="str">
        <x:v>모든 v3 콘텐츠</x:v>
      </x:c>
      <x:c r="D37" s="17" t="str">
        <x:v>setting_slot_drag</x:v>
      </x:c>
      <x:c r="E37" s="53" t="n">
        <x:v>35</x:v>
      </x:c>
      <x:c r="F37" s="17" t="str">
        <x:f>IF(E37&gt;='전체 루브릭'!$C$5,"안정",IF(E37&gt;='전체 루브릭'!$C$6,"발달 중",IF(E37&gt;='전체 루브릭'!$C$7,"흔들림","집중 보완")))</x:f>
        <x:v>집중 보완</x:v>
      </x:c>
      <x:c r="G37" s="17" t="str">
        <x:v>먼저 주인공을 찾고, 그다음 장소를 찾아봅시다.</x:v>
      </x:c>
      <x:c r="H37" s="17" t="str">
        <x:v>시작 배경 요소를 구분하는 데 집중 보완이 필요합니다.</x:v>
      </x:c>
      <x:c r="I37" s="17" t="str">
        <x:v>그림을 보며 ‘누가/어디서/처음에’ 질문을 한 번에 하나씩 제시하세요.</x:v>
      </x:c>
    </x:row>
    <x:row r="38" ht="34" customHeight="1">
      <x:c r="A38" s="27" t="str">
        <x:v>Q2</x:v>
      </x:c>
      <x:c r="B38" s="17" t="str">
        <x:v>배경 (Setting)</x:v>
      </x:c>
      <x:c r="C38" s="17" t="str">
        <x:v>모든 v3 콘텐츠</x:v>
      </x:c>
      <x:c r="D38" s="17" t="str">
        <x:v>setting_slot_drag</x:v>
      </x:c>
      <x:c r="E38" s="53" t="n">
        <x:v>37</x:v>
      </x:c>
      <x:c r="F38" s="17" t="str">
        <x:f>IF(E38&gt;='전체 루브릭'!$C$5,"안정",IF(E38&gt;='전체 루브릭'!$C$6,"발달 중",IF(E38&gt;='전체 루브릭'!$C$7,"흔들림","집중 보완")))</x:f>
        <x:v>집중 보완</x:v>
      </x:c>
      <x:c r="G38" s="17" t="str">
        <x:v>먼저 주인공을 찾고, 그다음 장소를 찾아봅시다.</x:v>
      </x:c>
      <x:c r="H38" s="17" t="str">
        <x:v>시작 배경 요소를 구분하는 데 집중 보완이 필요합니다.</x:v>
      </x:c>
      <x:c r="I38" s="17" t="str">
        <x:v>그림을 보며 ‘누가/어디서/처음에’ 질문을 한 번에 하나씩 제시하세요.</x:v>
      </x:c>
    </x:row>
    <x:row r="39" ht="34" customHeight="1">
      <x:c r="A39" s="27" t="str">
        <x:v>Q2</x:v>
      </x:c>
      <x:c r="B39" s="17" t="str">
        <x:v>배경 (Setting)</x:v>
      </x:c>
      <x:c r="C39" s="17" t="str">
        <x:v>모든 v3 콘텐츠</x:v>
      </x:c>
      <x:c r="D39" s="17" t="str">
        <x:v>setting_slot_drag</x:v>
      </x:c>
      <x:c r="E39" s="53" t="n">
        <x:v>40</x:v>
      </x:c>
      <x:c r="F39" s="17" t="str">
        <x:f>IF(E39&gt;='전체 루브릭'!$C$5,"안정",IF(E39&gt;='전체 루브릭'!$C$6,"발달 중",IF(E39&gt;='전체 루브릭'!$C$7,"흔들림","집중 보완")))</x:f>
        <x:v>집중 보완</x:v>
      </x:c>
      <x:c r="G39" s="17" t="str">
        <x:v>먼저 주인공을 찾고, 그다음 장소를 찾아봅시다.</x:v>
      </x:c>
      <x:c r="H39" s="17" t="str">
        <x:v>시작 배경 요소를 구분하는 데 집중 보완이 필요합니다.</x:v>
      </x:c>
      <x:c r="I39" s="17" t="str">
        <x:v>그림을 보며 ‘누가/어디서/처음에’ 질문을 한 번에 하나씩 제시하세요.</x:v>
      </x:c>
    </x:row>
    <x:row r="40" ht="34" customHeight="1">
      <x:c r="A40" s="27" t="str">
        <x:v>Q2</x:v>
      </x:c>
      <x:c r="B40" s="17" t="str">
        <x:v>배경 (Setting)</x:v>
      </x:c>
      <x:c r="C40" s="17" t="str">
        <x:v>모든 v3 콘텐츠</x:v>
      </x:c>
      <x:c r="D40" s="17" t="str">
        <x:v>setting_slot_drag</x:v>
      </x:c>
      <x:c r="E40" s="53" t="n">
        <x:v>42</x:v>
      </x:c>
      <x:c r="F40" s="17" t="str">
        <x:f>IF(E40&gt;='전체 루브릭'!$C$5,"안정",IF(E40&gt;='전체 루브릭'!$C$6,"발달 중",IF(E40&gt;='전체 루브릭'!$C$7,"흔들림","집중 보완")))</x:f>
        <x:v>집중 보완</x:v>
      </x:c>
      <x:c r="G40" s="17" t="str">
        <x:v>먼저 주인공을 찾고, 그다음 장소를 찾아봅시다.</x:v>
      </x:c>
      <x:c r="H40" s="17" t="str">
        <x:v>시작 배경 요소를 구분하는 데 집중 보완이 필요합니다.</x:v>
      </x:c>
      <x:c r="I40" s="17" t="str">
        <x:v>그림을 보며 ‘누가/어디서/처음에’ 질문을 한 번에 하나씩 제시하세요.</x:v>
      </x:c>
    </x:row>
    <x:row r="41" ht="34" customHeight="1">
      <x:c r="A41" s="27" t="str">
        <x:v>Q2</x:v>
      </x:c>
      <x:c r="B41" s="17" t="str">
        <x:v>배경 (Setting)</x:v>
      </x:c>
      <x:c r="C41" s="17" t="str">
        <x:v>모든 v3 콘텐츠</x:v>
      </x:c>
      <x:c r="D41" s="17" t="str">
        <x:v>setting_slot_drag</x:v>
      </x:c>
      <x:c r="E41" s="53" t="n">
        <x:v>48</x:v>
      </x:c>
      <x:c r="F41" s="17" t="str">
        <x:f>IF(E41&gt;='전체 루브릭'!$C$5,"안정",IF(E41&gt;='전체 루브릭'!$C$6,"발달 중",IF(E41&gt;='전체 루브릭'!$C$7,"흔들림","집중 보완")))</x:f>
        <x:v>집중 보완</x:v>
      </x:c>
      <x:c r="G41" s="17" t="str">
        <x:v>먼저 주인공을 찾고, 그다음 장소를 찾아봅시다.</x:v>
      </x:c>
      <x:c r="H41" s="17" t="str">
        <x:v>시작 배경 요소를 구분하는 데 집중 보완이 필요합니다.</x:v>
      </x:c>
      <x:c r="I41" s="17" t="str">
        <x:v>그림을 보며 ‘누가/어디서/처음에’ 질문을 한 번에 하나씩 제시하세요.</x:v>
      </x:c>
    </x:row>
    <x:row r="42" ht="34" customHeight="1">
      <x:c r="A42" s="27" t="str">
        <x:v>Q2</x:v>
      </x:c>
      <x:c r="B42" s="17" t="str">
        <x:v>배경 (Setting)</x:v>
      </x:c>
      <x:c r="C42" s="17" t="str">
        <x:v>모든 v3 콘텐츠</x:v>
      </x:c>
      <x:c r="D42" s="17" t="str">
        <x:v>setting_slot_drag</x:v>
      </x:c>
      <x:c r="E42" s="53" t="n">
        <x:v>50</x:v>
      </x:c>
      <x:c r="F42" s="17" t="str">
        <x:f>IF(E42&gt;='전체 루브릭'!$C$5,"안정",IF(E42&gt;='전체 루브릭'!$C$6,"발달 중",IF(E42&gt;='전체 루브릭'!$C$7,"흔들림","집중 보완")))</x:f>
        <x:v>흔들림</x:v>
      </x:c>
      <x:c r="G42" s="17" t="str">
        <x:v>인물, 장소, 처음 상황을 하나씩 따로 찾아봅시다.</x:v>
      </x:c>
      <x:c r="H42" s="17" t="str">
        <x:v>일부 배경 단서는 파악했지만 세 요소를 구분하는 과정이 흔들립니다.</x:v>
      </x:c>
      <x:c r="I42" s="17" t="str">
        <x:v>첫 문단에서 인물·장소·행동에 각각 밑줄을 그어보세요.</x:v>
      </x:c>
    </x:row>
    <x:row r="43" ht="34" customHeight="1">
      <x:c r="A43" s="27" t="str">
        <x:v>Q2</x:v>
      </x:c>
      <x:c r="B43" s="17" t="str">
        <x:v>배경 (Setting)</x:v>
      </x:c>
      <x:c r="C43" s="17" t="str">
        <x:v>모든 v3 콘텐츠</x:v>
      </x:c>
      <x:c r="D43" s="17" t="str">
        <x:v>setting_slot_drag</x:v>
      </x:c>
      <x:c r="E43" s="53" t="n">
        <x:v>51</x:v>
      </x:c>
      <x:c r="F43" s="17" t="str">
        <x:f>IF(E43&gt;='전체 루브릭'!$C$5,"안정",IF(E43&gt;='전체 루브릭'!$C$6,"발달 중",IF(E43&gt;='전체 루브릭'!$C$7,"흔들림","집중 보완")))</x:f>
        <x:v>흔들림</x:v>
      </x:c>
      <x:c r="G43" s="17" t="str">
        <x:v>인물, 장소, 처음 상황을 하나씩 따로 찾아봅시다.</x:v>
      </x:c>
      <x:c r="H43" s="17" t="str">
        <x:v>일부 배경 단서는 파악했지만 세 요소를 구분하는 과정이 흔들립니다.</x:v>
      </x:c>
      <x:c r="I43" s="17" t="str">
        <x:v>첫 문단에서 인물·장소·행동에 각각 밑줄을 그어보세요.</x:v>
      </x:c>
    </x:row>
    <x:row r="44" ht="34" customHeight="1">
      <x:c r="A44" s="27" t="str">
        <x:v>Q2</x:v>
      </x:c>
      <x:c r="B44" s="17" t="str">
        <x:v>배경 (Setting)</x:v>
      </x:c>
      <x:c r="C44" s="17" t="str">
        <x:v>모든 v3 콘텐츠</x:v>
      </x:c>
      <x:c r="D44" s="17" t="str">
        <x:v>setting_slot_drag</x:v>
      </x:c>
      <x:c r="E44" s="53" t="n">
        <x:v>53</x:v>
      </x:c>
      <x:c r="F44" s="17" t="str">
        <x:f>IF(E44&gt;='전체 루브릭'!$C$5,"안정",IF(E44&gt;='전체 루브릭'!$C$6,"발달 중",IF(E44&gt;='전체 루브릭'!$C$7,"흔들림","집중 보완")))</x:f>
        <x:v>흔들림</x:v>
      </x:c>
      <x:c r="G44" s="17" t="str">
        <x:v>인물, 장소, 처음 상황을 하나씩 따로 찾아봅시다.</x:v>
      </x:c>
      <x:c r="H44" s="17" t="str">
        <x:v>일부 배경 단서는 파악했지만 세 요소를 구분하는 과정이 흔들립니다.</x:v>
      </x:c>
      <x:c r="I44" s="17" t="str">
        <x:v>첫 문단에서 인물·장소·행동에 각각 밑줄을 그어보세요.</x:v>
      </x:c>
    </x:row>
    <x:row r="45" ht="34" customHeight="1">
      <x:c r="A45" s="27" t="str">
        <x:v>Q2</x:v>
      </x:c>
      <x:c r="B45" s="17" t="str">
        <x:v>배경 (Setting)</x:v>
      </x:c>
      <x:c r="C45" s="17" t="str">
        <x:v>모든 v3 콘텐츠</x:v>
      </x:c>
      <x:c r="D45" s="17" t="str">
        <x:v>setting_slot_drag</x:v>
      </x:c>
      <x:c r="E45" s="53" t="n">
        <x:v>57</x:v>
      </x:c>
      <x:c r="F45" s="17" t="str">
        <x:f>IF(E45&gt;='전체 루브릭'!$C$5,"안정",IF(E45&gt;='전체 루브릭'!$C$6,"발달 중",IF(E45&gt;='전체 루브릭'!$C$7,"흔들림","집중 보완")))</x:f>
        <x:v>흔들림</x:v>
      </x:c>
      <x:c r="G45" s="17" t="str">
        <x:v>인물, 장소, 처음 상황을 하나씩 따로 찾아봅시다.</x:v>
      </x:c>
      <x:c r="H45" s="17" t="str">
        <x:v>일부 배경 단서는 파악했지만 세 요소를 구분하는 과정이 흔들립니다.</x:v>
      </x:c>
      <x:c r="I45" s="17" t="str">
        <x:v>첫 문단에서 인물·장소·행동에 각각 밑줄을 그어보세요.</x:v>
      </x:c>
    </x:row>
    <x:row r="46" ht="34" customHeight="1">
      <x:c r="A46" s="27" t="str">
        <x:v>Q2</x:v>
      </x:c>
      <x:c r="B46" s="17" t="str">
        <x:v>배경 (Setting)</x:v>
      </x:c>
      <x:c r="C46" s="17" t="str">
        <x:v>모든 v3 콘텐츠</x:v>
      </x:c>
      <x:c r="D46" s="17" t="str">
        <x:v>setting_slot_drag</x:v>
      </x:c>
      <x:c r="E46" s="53" t="n">
        <x:v>58</x:v>
      </x:c>
      <x:c r="F46" s="17" t="str">
        <x:f>IF(E46&gt;='전체 루브릭'!$C$5,"안정",IF(E46&gt;='전체 루브릭'!$C$6,"발달 중",IF(E46&gt;='전체 루브릭'!$C$7,"흔들림","집중 보완")))</x:f>
        <x:v>흔들림</x:v>
      </x:c>
      <x:c r="G46" s="17" t="str">
        <x:v>인물, 장소, 처음 상황을 하나씩 따로 찾아봅시다.</x:v>
      </x:c>
      <x:c r="H46" s="17" t="str">
        <x:v>일부 배경 단서는 파악했지만 세 요소를 구분하는 과정이 흔들립니다.</x:v>
      </x:c>
      <x:c r="I46" s="17" t="str">
        <x:v>첫 문단에서 인물·장소·행동에 각각 밑줄을 그어보세요.</x:v>
      </x:c>
    </x:row>
    <x:row r="47" ht="34" customHeight="1">
      <x:c r="A47" s="27" t="str">
        <x:v>Q2</x:v>
      </x:c>
      <x:c r="B47" s="17" t="str">
        <x:v>배경 (Setting)</x:v>
      </x:c>
      <x:c r="C47" s="17" t="str">
        <x:v>모든 v3 콘텐츠</x:v>
      </x:c>
      <x:c r="D47" s="17" t="str">
        <x:v>setting_slot_drag</x:v>
      </x:c>
      <x:c r="E47" s="53" t="n">
        <x:v>62</x:v>
      </x:c>
      <x:c r="F47" s="17" t="str">
        <x:f>IF(E47&gt;='전체 루브릭'!$C$5,"안정",IF(E47&gt;='전체 루브릭'!$C$6,"발달 중",IF(E47&gt;='전체 루브릭'!$C$7,"흔들림","집중 보완")))</x:f>
        <x:v>흔들림</x:v>
      </x:c>
      <x:c r="G47" s="17" t="str">
        <x:v>인물, 장소, 처음 상황을 하나씩 따로 찾아봅시다.</x:v>
      </x:c>
      <x:c r="H47" s="17" t="str">
        <x:v>일부 배경 단서는 파악했지만 세 요소를 구분하는 과정이 흔들립니다.</x:v>
      </x:c>
      <x:c r="I47" s="17" t="str">
        <x:v>첫 문단에서 인물·장소·행동에 각각 밑줄을 그어보세요.</x:v>
      </x:c>
    </x:row>
    <x:row r="48" ht="34" customHeight="1">
      <x:c r="A48" s="27" t="str">
        <x:v>Q2</x:v>
      </x:c>
      <x:c r="B48" s="17" t="str">
        <x:v>배경 (Setting)</x:v>
      </x:c>
      <x:c r="C48" s="17" t="str">
        <x:v>모든 v3 콘텐츠</x:v>
      </x:c>
      <x:c r="D48" s="17" t="str">
        <x:v>setting_slot_drag</x:v>
      </x:c>
      <x:c r="E48" s="53" t="n">
        <x:v>67</x:v>
      </x:c>
      <x:c r="F48" s="17" t="str">
        <x:f>IF(E48&gt;='전체 루브릭'!$C$5,"안정",IF(E48&gt;='전체 루브릭'!$C$6,"발달 중",IF(E48&gt;='전체 루브릭'!$C$7,"흔들림","집중 보완")))</x:f>
        <x:v>흔들림</x:v>
      </x:c>
      <x:c r="G48" s="17" t="str">
        <x:v>인물, 장소, 처음 상황을 하나씩 따로 찾아봅시다.</x:v>
      </x:c>
      <x:c r="H48" s="17" t="str">
        <x:v>일부 배경 단서는 파악했지만 세 요소를 구분하는 과정이 흔들립니다.</x:v>
      </x:c>
      <x:c r="I48" s="17" t="str">
        <x:v>첫 문단에서 인물·장소·행동에 각각 밑줄을 그어보세요.</x:v>
      </x:c>
    </x:row>
    <x:row r="49" ht="34" customHeight="1">
      <x:c r="A49" s="27" t="str">
        <x:v>Q2</x:v>
      </x:c>
      <x:c r="B49" s="17" t="str">
        <x:v>배경 (Setting)</x:v>
      </x:c>
      <x:c r="C49" s="17" t="str">
        <x:v>모든 v3 콘텐츠</x:v>
      </x:c>
      <x:c r="D49" s="17" t="str">
        <x:v>setting_slot_drag</x:v>
      </x:c>
      <x:c r="E49" s="53" t="n">
        <x:v>73</x:v>
      </x:c>
      <x:c r="F49" s="17" t="str">
        <x:f>IF(E49&gt;='전체 루브릭'!$C$5,"안정",IF(E49&gt;='전체 루브릭'!$C$6,"발달 중",IF(E49&gt;='전체 루브릭'!$C$7,"흔들림","집중 보완")))</x:f>
        <x:v>발달 중</x:v>
      </x:c>
      <x:c r="G49" s="17" t="str">
        <x:v>배경의 큰 틀은 이해했어요. 헷갈린 슬롯의 카드를 다시 비교해 보세요.</x:v>
      </x:c>
      <x:c r="H49" s="17" t="str">
        <x:v>배경 요소 대부분을 이해했으나 한 요소의 목표 카드 또는 범주 연결이 불안정합니다.</x:v>
      </x:c>
      <x:c r="I49" s="17" t="str">
        <x:v>Who·Where·At first를 색으로 나누어 표시해 보세요.</x:v>
      </x:c>
    </x:row>
    <x:row r="50" ht="34" customHeight="1">
      <x:c r="A50" s="27" t="str">
        <x:v>Q2</x:v>
      </x:c>
      <x:c r="B50" s="17" t="str">
        <x:v>배경 (Setting)</x:v>
      </x:c>
      <x:c r="C50" s="17" t="str">
        <x:v>모든 v3 콘텐츠</x:v>
      </x:c>
      <x:c r="D50" s="17" t="str">
        <x:v>setting_slot_drag</x:v>
      </x:c>
      <x:c r="E50" s="53" t="n">
        <x:v>75</x:v>
      </x:c>
      <x:c r="F50" s="17" t="str">
        <x:f>IF(E50&gt;='전체 루브릭'!$C$5,"안정",IF(E50&gt;='전체 루브릭'!$C$6,"발달 중",IF(E50&gt;='전체 루브릭'!$C$7,"흔들림","집중 보완")))</x:f>
        <x:v>발달 중</x:v>
      </x:c>
      <x:c r="G50" s="17" t="str">
        <x:v>배경의 큰 틀은 이해했어요. 헷갈린 슬롯의 카드를 다시 비교해 보세요.</x:v>
      </x:c>
      <x:c r="H50" s="17" t="str">
        <x:v>배경 요소 대부분을 이해했으나 한 요소의 목표 카드 또는 범주 연결이 불안정합니다.</x:v>
      </x:c>
      <x:c r="I50" s="17" t="str">
        <x:v>Who·Where·At first를 색으로 나누어 표시해 보세요.</x:v>
      </x:c>
    </x:row>
    <x:row r="51" ht="34" customHeight="1">
      <x:c r="A51" s="27" t="str">
        <x:v>Q2</x:v>
      </x:c>
      <x:c r="B51" s="17" t="str">
        <x:v>배경 (Setting)</x:v>
      </x:c>
      <x:c r="C51" s="17" t="str">
        <x:v>모든 v3 콘텐츠</x:v>
      </x:c>
      <x:c r="D51" s="17" t="str">
        <x:v>setting_slot_drag</x:v>
      </x:c>
      <x:c r="E51" s="53" t="n">
        <x:v>78</x:v>
      </x:c>
      <x:c r="F51" s="17" t="str">
        <x:f>IF(E51&gt;='전체 루브릭'!$C$5,"안정",IF(E51&gt;='전체 루브릭'!$C$6,"발달 중",IF(E51&gt;='전체 루브릭'!$C$7,"흔들림","집중 보완")))</x:f>
        <x:v>발달 중</x:v>
      </x:c>
      <x:c r="G51" s="17" t="str">
        <x:v>배경의 큰 틀은 이해했어요. 헷갈린 슬롯의 카드를 다시 비교해 보세요.</x:v>
      </x:c>
      <x:c r="H51" s="17" t="str">
        <x:v>배경 요소 대부분을 이해했으나 한 요소의 목표 카드 또는 범주 연결이 불안정합니다.</x:v>
      </x:c>
      <x:c r="I51" s="17" t="str">
        <x:v>Who·Where·At first를 색으로 나누어 표시해 보세요.</x:v>
      </x:c>
    </x:row>
    <x:row r="52" ht="34" customHeight="1">
      <x:c r="A52" s="27" t="str">
        <x:v>Q2</x:v>
      </x:c>
      <x:c r="B52" s="17" t="str">
        <x:v>배경 (Setting)</x:v>
      </x:c>
      <x:c r="C52" s="17" t="str">
        <x:v>모든 v3 콘텐츠</x:v>
      </x:c>
      <x:c r="D52" s="17" t="str">
        <x:v>setting_slot_drag</x:v>
      </x:c>
      <x:c r="E52" s="53" t="n">
        <x:v>84</x:v>
      </x:c>
      <x:c r="F52" s="17" t="str">
        <x:f>IF(E52&gt;='전체 루브릭'!$C$5,"안정",IF(E52&gt;='전체 루브릭'!$C$6,"발달 중",IF(E52&gt;='전체 루브릭'!$C$7,"흔들림","집중 보완")))</x:f>
        <x:v>발달 중</x:v>
      </x:c>
      <x:c r="G52" s="17" t="str">
        <x:v>배경의 큰 틀은 이해했어요. 헷갈린 슬롯의 카드를 다시 비교해 보세요.</x:v>
      </x:c>
      <x:c r="H52" s="17" t="str">
        <x:v>배경 요소 대부분을 이해했으나 한 요소의 목표 카드 또는 범주 연결이 불안정합니다.</x:v>
      </x:c>
      <x:c r="I52" s="17" t="str">
        <x:v>Who·Where·At first를 색으로 나누어 표시해 보세요.</x:v>
      </x:c>
    </x:row>
    <x:row r="53" ht="34" customHeight="1">
      <x:c r="A53" s="27" t="str">
        <x:v>Q2</x:v>
      </x:c>
      <x:c r="B53" s="17" t="str">
        <x:v>배경 (Setting)</x:v>
      </x:c>
      <x:c r="C53" s="17" t="str">
        <x:v>모든 v3 콘텐츠</x:v>
      </x:c>
      <x:c r="D53" s="17" t="str">
        <x:v>setting_slot_drag</x:v>
      </x:c>
      <x:c r="E53" s="53" t="n">
        <x:v>100</x:v>
      </x:c>
      <x:c r="F53" s="17" t="str">
        <x:f>IF(E53&gt;='전체 루브릭'!$C$5,"안정",IF(E53&gt;='전체 루브릭'!$C$6,"발달 중",IF(E53&gt;='전체 루브릭'!$C$7,"흔들림","집중 보완")))</x:f>
        <x:v>안정</x:v>
      </x:c>
      <x:c r="G53" s="17" t="str">
        <x:v>누가, 어디서, 처음에 무엇을 했는지 정확히 구분했어요.</x:v>
      </x:c>
      <x:c r="H53" s="17" t="str">
        <x:v>시작 배경의 세 요소를 안정적으로 식별했습니다.</x:v>
      </x:c>
      <x:c r="I53" s="17" t="str">
        <x:v>새 이야기의 첫 장면을 한 문장으로 요약해 보세요.</x:v>
      </x:c>
    </x:row>
    <x:row r="54" ht="34" customHeight="1">
      <x:c r="A54" s="27" t="str">
        <x:v>Q3</x:v>
      </x:c>
      <x:c r="B54" s="17" t="str">
        <x:v>사건 시작 (Initiating Event)</x:v>
      </x:c>
      <x:c r="C54" s="17" t="str">
        <x:v>6종 콘텐츠 통합</x:v>
      </x:c>
      <x:c r="D54" s="17" t="str">
        <x:v>listen_scene_mcq</x:v>
      </x:c>
      <x:c r="E54" s="53" t="n">
        <x:v>0</x:v>
      </x:c>
      <x:c r="F54" s="17" t="str">
        <x:f>IF(E54&gt;='전체 루브릭'!$C$5,"안정",IF(E54&gt;='전체 루브릭'!$C$6,"발달 중",IF(E54&gt;='전체 루브릭'!$C$7,"흔들림","집중 보완")))</x:f>
        <x:v>집중 보완</x:v>
      </x:c>
      <x:c r="G54" s="17" t="str">
        <x:v>선택한 장면이 문제의 시작인지, 그 뒤에 일어난 일인지 다시 비교해 보세요.</x:v>
      </x:c>
      <x:c r="H54" s="17" t="str">
        <x:v>문제 시작 장면과 배경·중간 사건·해결 장면을 구분하는 연습이 필요합니다.</x:v>
      </x:c>
      <x:c r="I54" s="17" t="str">
        <x:v>각 선택지를 ‘문제 전/문제 시작/문제 후’로 분류해 보세요.</x:v>
      </x:c>
    </x:row>
    <x:row r="55" ht="34" customHeight="1">
      <x:c r="A55" s="27" t="str">
        <x:v>Q3</x:v>
      </x:c>
      <x:c r="B55" s="17" t="str">
        <x:v>사건 시작 (Initiating Event)</x:v>
      </x:c>
      <x:c r="C55" s="17" t="str">
        <x:v>6종 콘텐츠 통합</x:v>
      </x:c>
      <x:c r="D55" s="17" t="str">
        <x:v>listen_scene_mcq</x:v>
      </x:c>
      <x:c r="E55" s="53" t="n">
        <x:v>10</x:v>
      </x:c>
      <x:c r="F55" s="17" t="str">
        <x:f>IF(E55&gt;='전체 루브릭'!$C$5,"안정",IF(E55&gt;='전체 루브릭'!$C$6,"발달 중",IF(E55&gt;='전체 루브릭'!$C$7,"흔들림","집중 보완")))</x:f>
        <x:v>집중 보완</x:v>
      </x:c>
      <x:c r="G55" s="17" t="str">
        <x:v>선택한 장면이 문제의 시작인지, 그 뒤에 일어난 일인지 다시 비교해 보세요.</x:v>
      </x:c>
      <x:c r="H55" s="17" t="str">
        <x:v>문제 시작 장면과 배경·중간 사건·해결 장면을 구분하는 연습이 필요합니다.</x:v>
      </x:c>
      <x:c r="I55" s="17" t="str">
        <x:v>각 선택지를 ‘문제 전/문제 시작/문제 후’로 분류해 보세요.</x:v>
      </x:c>
    </x:row>
    <x:row r="56" ht="34" customHeight="1">
      <x:c r="A56" s="27" t="str">
        <x:v>Q3</x:v>
      </x:c>
      <x:c r="B56" s="17" t="str">
        <x:v>사건 시작 (Initiating Event)</x:v>
      </x:c>
      <x:c r="C56" s="17" t="str">
        <x:v>6종 콘텐츠 통합</x:v>
      </x:c>
      <x:c r="D56" s="17" t="str">
        <x:v>listen_scene_mcq</x:v>
      </x:c>
      <x:c r="E56" s="53" t="n">
        <x:v>20</x:v>
      </x:c>
      <x:c r="F56" s="17" t="str">
        <x:f>IF(E56&gt;='전체 루브릭'!$C$5,"안정",IF(E56&gt;='전체 루브릭'!$C$6,"발달 중",IF(E56&gt;='전체 루브릭'!$C$7,"흔들림","집중 보완")))</x:f>
        <x:v>집중 보완</x:v>
      </x:c>
      <x:c r="G56" s="17" t="str">
        <x:v>선택한 장면이 문제의 시작인지, 그 뒤에 일어난 일인지 다시 비교해 보세요.</x:v>
      </x:c>
      <x:c r="H56" s="17" t="str">
        <x:v>문제 시작 장면과 배경·중간 사건·해결 장면을 구분하는 연습이 필요합니다.</x:v>
      </x:c>
      <x:c r="I56" s="17" t="str">
        <x:v>각 선택지를 ‘문제 전/문제 시작/문제 후’로 분류해 보세요.</x:v>
      </x:c>
    </x:row>
    <x:row r="57" ht="34" customHeight="1">
      <x:c r="A57" s="27" t="str">
        <x:v>Q3</x:v>
      </x:c>
      <x:c r="B57" s="17" t="str">
        <x:v>사건 시작 (Initiating Event)</x:v>
      </x:c>
      <x:c r="C57" s="17" t="str">
        <x:v>6종 콘텐츠 통합</x:v>
      </x:c>
      <x:c r="D57" s="17" t="str">
        <x:v>listen_scene_mcq</x:v>
      </x:c>
      <x:c r="E57" s="53" t="n">
        <x:v>25</x:v>
      </x:c>
      <x:c r="F57" s="17" t="str">
        <x:f>IF(E57&gt;='전체 루브릭'!$C$5,"안정",IF(E57&gt;='전체 루브릭'!$C$6,"발달 중",IF(E57&gt;='전체 루브릭'!$C$7,"흔들림","집중 보완")))</x:f>
        <x:v>집중 보완</x:v>
      </x:c>
      <x:c r="G57" s="17" t="str">
        <x:v>선택한 장면이 문제의 시작인지, 그 뒤에 일어난 일인지 다시 비교해 보세요.</x:v>
      </x:c>
      <x:c r="H57" s="17" t="str">
        <x:v>문제 시작 장면과 배경·중간 사건·해결 장면을 구분하는 연습이 필요합니다.</x:v>
      </x:c>
      <x:c r="I57" s="17" t="str">
        <x:v>각 선택지를 ‘문제 전/문제 시작/문제 후’로 분류해 보세요.</x:v>
      </x:c>
    </x:row>
    <x:row r="58" ht="34" customHeight="1">
      <x:c r="A58" s="27" t="str">
        <x:v>Q3</x:v>
      </x:c>
      <x:c r="B58" s="17" t="str">
        <x:v>사건 시작 (Initiating Event)</x:v>
      </x:c>
      <x:c r="C58" s="17" t="str">
        <x:v>6종 콘텐츠 통합</x:v>
      </x:c>
      <x:c r="D58" s="17" t="str">
        <x:v>listen_scene_mcq</x:v>
      </x:c>
      <x:c r="E58" s="53" t="n">
        <x:v>30</x:v>
      </x:c>
      <x:c r="F58" s="17" t="str">
        <x:f>IF(E58&gt;='전체 루브릭'!$C$5,"안정",IF(E58&gt;='전체 루브릭'!$C$6,"발달 중",IF(E58&gt;='전체 루브릭'!$C$7,"흔들림","집중 보완")))</x:f>
        <x:v>집중 보완</x:v>
      </x:c>
      <x:c r="G58" s="17" t="str">
        <x:v>선택한 장면이 문제의 시작인지, 그 뒤에 일어난 일인지 다시 비교해 보세요.</x:v>
      </x:c>
      <x:c r="H58" s="17" t="str">
        <x:v>문제 시작 장면과 배경·중간 사건·해결 장면을 구분하는 연습이 필요합니다.</x:v>
      </x:c>
      <x:c r="I58" s="17" t="str">
        <x:v>각 선택지를 ‘문제 전/문제 시작/문제 후’로 분류해 보세요.</x:v>
      </x:c>
    </x:row>
    <x:row r="59" ht="34" customHeight="1">
      <x:c r="A59" s="27" t="str">
        <x:v>Q3</x:v>
      </x:c>
      <x:c r="B59" s="17" t="str">
        <x:v>사건 시작 (Initiating Event)</x:v>
      </x:c>
      <x:c r="C59" s="17" t="str">
        <x:v>6종 콘텐츠 통합</x:v>
      </x:c>
      <x:c r="D59" s="17" t="str">
        <x:v>listen_scene_mcq</x:v>
      </x:c>
      <x:c r="E59" s="53" t="n">
        <x:v>35</x:v>
      </x:c>
      <x:c r="F59" s="17" t="str">
        <x:f>IF(E59&gt;='전체 루브릭'!$C$5,"안정",IF(E59&gt;='전체 루브릭'!$C$6,"발달 중",IF(E59&gt;='전체 루브릭'!$C$7,"흔들림","집중 보완")))</x:f>
        <x:v>집중 보완</x:v>
      </x:c>
      <x:c r="G59" s="17" t="str">
        <x:v>선택한 장면이 문제의 시작인지, 그 뒤에 일어난 일인지 다시 비교해 보세요.</x:v>
      </x:c>
      <x:c r="H59" s="17" t="str">
        <x:v>문제 시작 장면과 배경·중간 사건·해결 장면을 구분하는 연습이 필요합니다.</x:v>
      </x:c>
      <x:c r="I59" s="17" t="str">
        <x:v>각 선택지를 ‘문제 전/문제 시작/문제 후’로 분류해 보세요.</x:v>
      </x:c>
    </x:row>
    <x:row r="60" ht="34" customHeight="1">
      <x:c r="A60" s="27" t="str">
        <x:v>Q3</x:v>
      </x:c>
      <x:c r="B60" s="17" t="str">
        <x:v>사건 시작 (Initiating Event)</x:v>
      </x:c>
      <x:c r="C60" s="17" t="str">
        <x:v>6종 콘텐츠 통합</x:v>
      </x:c>
      <x:c r="D60" s="17" t="str">
        <x:v>listen_scene_mcq</x:v>
      </x:c>
      <x:c r="E60" s="53" t="n">
        <x:v>100</x:v>
      </x:c>
      <x:c r="F60" s="17" t="str">
        <x:f>IF(E60&gt;='전체 루브릭'!$C$5,"안정",IF(E60&gt;='전체 루브릭'!$C$6,"발달 중",IF(E60&gt;='전체 루브릭'!$C$7,"흔들림","집중 보완")))</x:f>
        <x:v>안정</x:v>
      </x:c>
      <x:c r="G60" s="17" t="str">
        <x:v>문제가 시작되는 장면을 정확히 찾았어요.</x:v>
      </x:c>
      <x:c r="H60" s="17" t="str">
        <x:v>사건을 촉발한 최초 장면을 정확히 식별했습니다.</x:v>
      </x:c>
      <x:c r="I60" s="17" t="str">
        <x:v>왜 이 장면부터 문제가 시작되는지 한 문장으로 설명해 보세요.</x:v>
      </x:c>
    </x:row>
    <x:row r="61" ht="34" customHeight="1">
      <x:c r="A61" s="27" t="str">
        <x:v>Q4</x:v>
      </x:c>
      <x:c r="B61" s="17" t="str">
        <x:v>시도·행동 (Attempt)</x:v>
      </x:c>
      <x:c r="C61" s="17" t="str">
        <x:v>CS0003 (8단어)</x:v>
      </x:c>
      <x:c r="D61" s="17" t="str">
        <x:v>scene_word_unscramble</x:v>
      </x:c>
      <x:c r="E61" s="53" t="n">
        <x:v>0</x:v>
      </x:c>
      <x:c r="F61" s="17" t="str">
        <x:f>IF(E61&gt;='전체 루브릭'!$C$5,"안정",IF(E61&gt;='전체 루브릭'!$C$6,"발달 중",IF(E61&gt;='전체 루브릭'!$C$7,"흔들림","집중 보완")))</x:f>
        <x:v>집중 보완</x:v>
      </x:c>
      <x:c r="G61" s="17" t="str">
        <x:v>그림을 보고 주인공의 행동을 두세 단어로 먼저 말해 봅시다.</x:v>
      </x:c>
      <x:c r="H61" s="17" t="str">
        <x:v>행동 문장의 의미와 어순 구성에 집중 지원이 필요합니다.</x:v>
      </x:c>
      <x:c r="I61" s="17" t="str">
        <x:v>교사가 문장을 읽어주고 단어를 한 칸씩 대응시켜 주세요.</x:v>
      </x:c>
    </x:row>
    <x:row r="62" ht="34" customHeight="1">
      <x:c r="A62" s="27" t="str">
        <x:v>Q4</x:v>
      </x:c>
      <x:c r="B62" s="17" t="str">
        <x:v>시도·행동 (Attempt)</x:v>
      </x:c>
      <x:c r="C62" s="17" t="str">
        <x:v>CS0003 (8단어)</x:v>
      </x:c>
      <x:c r="D62" s="17" t="str">
        <x:v>scene_word_unscramble</x:v>
      </x:c>
      <x:c r="E62" s="53" t="n">
        <x:v>8</x:v>
      </x:c>
      <x:c r="F62" s="17" t="str">
        <x:f>IF(E62&gt;='전체 루브릭'!$C$5,"안정",IF(E62&gt;='전체 루브릭'!$C$6,"발달 중",IF(E62&gt;='전체 루브릭'!$C$7,"흔들림","집중 보완")))</x:f>
        <x:v>집중 보완</x:v>
      </x:c>
      <x:c r="G62" s="17" t="str">
        <x:v>그림을 보고 주인공의 행동을 두세 단어로 먼저 말해 봅시다.</x:v>
      </x:c>
      <x:c r="H62" s="17" t="str">
        <x:v>행동 문장의 의미와 어순 구성에 집중 지원이 필요합니다.</x:v>
      </x:c>
      <x:c r="I62" s="17" t="str">
        <x:v>교사가 문장을 읽어주고 단어를 한 칸씩 대응시켜 주세요.</x:v>
      </x:c>
    </x:row>
    <x:row r="63" ht="34" customHeight="1">
      <x:c r="A63" s="27" t="str">
        <x:v>Q4</x:v>
      </x:c>
      <x:c r="B63" s="17" t="str">
        <x:v>시도·행동 (Attempt)</x:v>
      </x:c>
      <x:c r="C63" s="17" t="str">
        <x:v>CS0003 (8단어)</x:v>
      </x:c>
      <x:c r="D63" s="17" t="str">
        <x:v>scene_word_unscramble</x:v>
      </x:c>
      <x:c r="E63" s="53" t="n">
        <x:v>16</x:v>
      </x:c>
      <x:c r="F63" s="17" t="str">
        <x:f>IF(E63&gt;='전체 루브릭'!$C$5,"안정",IF(E63&gt;='전체 루브릭'!$C$6,"발달 중",IF(E63&gt;='전체 루브릭'!$C$7,"흔들림","집중 보완")))</x:f>
        <x:v>집중 보완</x:v>
      </x:c>
      <x:c r="G63" s="17" t="str">
        <x:v>그림을 보고 주인공의 행동을 두세 단어로 먼저 말해 봅시다.</x:v>
      </x:c>
      <x:c r="H63" s="17" t="str">
        <x:v>행동 문장의 의미와 어순 구성에 집중 지원이 필요합니다.</x:v>
      </x:c>
      <x:c r="I63" s="17" t="str">
        <x:v>교사가 문장을 읽어주고 단어를 한 칸씩 대응시켜 주세요.</x:v>
      </x:c>
    </x:row>
    <x:row r="64" ht="34" customHeight="1">
      <x:c r="A64" s="27" t="str">
        <x:v>Q4</x:v>
      </x:c>
      <x:c r="B64" s="17" t="str">
        <x:v>시도·행동 (Attempt)</x:v>
      </x:c>
      <x:c r="C64" s="17" t="str">
        <x:v>CS0003 (8단어)</x:v>
      </x:c>
      <x:c r="D64" s="17" t="str">
        <x:v>scene_word_unscramble</x:v>
      </x:c>
      <x:c r="E64" s="53" t="n">
        <x:v>20</x:v>
      </x:c>
      <x:c r="F64" s="17" t="str">
        <x:f>IF(E64&gt;='전체 루브릭'!$C$5,"안정",IF(E64&gt;='전체 루브릭'!$C$6,"발달 중",IF(E64&gt;='전체 루브릭'!$C$7,"흔들림","집중 보완")))</x:f>
        <x:v>집중 보완</x:v>
      </x:c>
      <x:c r="G64" s="17" t="str">
        <x:v>그림을 보고 주인공의 행동을 두세 단어로 먼저 말해 봅시다.</x:v>
      </x:c>
      <x:c r="H64" s="17" t="str">
        <x:v>행동 문장의 의미와 어순 구성에 집중 지원이 필요합니다.</x:v>
      </x:c>
      <x:c r="I64" s="17" t="str">
        <x:v>교사가 문장을 읽어주고 단어를 한 칸씩 대응시켜 주세요.</x:v>
      </x:c>
    </x:row>
    <x:row r="65" ht="34" customHeight="1">
      <x:c r="A65" s="27" t="str">
        <x:v>Q4</x:v>
      </x:c>
      <x:c r="B65" s="17" t="str">
        <x:v>시도·행동 (Attempt)</x:v>
      </x:c>
      <x:c r="C65" s="17" t="str">
        <x:v>CS0003 (8단어)</x:v>
      </x:c>
      <x:c r="D65" s="17" t="str">
        <x:v>scene_word_unscramble</x:v>
      </x:c>
      <x:c r="E65" s="53" t="n">
        <x:v>24</x:v>
      </x:c>
      <x:c r="F65" s="17" t="str">
        <x:f>IF(E65&gt;='전체 루브릭'!$C$5,"안정",IF(E65&gt;='전체 루브릭'!$C$6,"발달 중",IF(E65&gt;='전체 루브릭'!$C$7,"흔들림","집중 보완")))</x:f>
        <x:v>집중 보완</x:v>
      </x:c>
      <x:c r="G65" s="17" t="str">
        <x:v>그림을 보고 주인공의 행동을 두세 단어로 먼저 말해 봅시다.</x:v>
      </x:c>
      <x:c r="H65" s="17" t="str">
        <x:v>행동 문장의 의미와 어순 구성에 집중 지원이 필요합니다.</x:v>
      </x:c>
      <x:c r="I65" s="17" t="str">
        <x:v>교사가 문장을 읽어주고 단어를 한 칸씩 대응시켜 주세요.</x:v>
      </x:c>
    </x:row>
    <x:row r="66" ht="34" customHeight="1">
      <x:c r="A66" s="27" t="str">
        <x:v>Q4</x:v>
      </x:c>
      <x:c r="B66" s="17" t="str">
        <x:v>시도·행동 (Attempt)</x:v>
      </x:c>
      <x:c r="C66" s="17" t="str">
        <x:v>CS0003 (8단어)</x:v>
      </x:c>
      <x:c r="D66" s="17" t="str">
        <x:v>scene_word_unscramble</x:v>
      </x:c>
      <x:c r="E66" s="53" t="n">
        <x:v>28</x:v>
      </x:c>
      <x:c r="F66" s="17" t="str">
        <x:f>IF(E66&gt;='전체 루브릭'!$C$5,"안정",IF(E66&gt;='전체 루브릭'!$C$6,"발달 중",IF(E66&gt;='전체 루브릭'!$C$7,"흔들림","집중 보완")))</x:f>
        <x:v>집중 보완</x:v>
      </x:c>
      <x:c r="G66" s="17" t="str">
        <x:v>그림을 보고 주인공의 행동을 두세 단어로 먼저 말해 봅시다.</x:v>
      </x:c>
      <x:c r="H66" s="17" t="str">
        <x:v>행동 문장의 의미와 어순 구성에 집중 지원이 필요합니다.</x:v>
      </x:c>
      <x:c r="I66" s="17" t="str">
        <x:v>교사가 문장을 읽어주고 단어를 한 칸씩 대응시켜 주세요.</x:v>
      </x:c>
    </x:row>
    <x:row r="67" ht="34" customHeight="1">
      <x:c r="A67" s="27" t="str">
        <x:v>Q4</x:v>
      </x:c>
      <x:c r="B67" s="17" t="str">
        <x:v>시도·행동 (Attempt)</x:v>
      </x:c>
      <x:c r="C67" s="17" t="str">
        <x:v>CS0003 (8단어)</x:v>
      </x:c>
      <x:c r="D67" s="17" t="str">
        <x:v>scene_word_unscramble</x:v>
      </x:c>
      <x:c r="E67" s="53" t="n">
        <x:v>32</x:v>
      </x:c>
      <x:c r="F67" s="17" t="str">
        <x:f>IF(E67&gt;='전체 루브릭'!$C$5,"안정",IF(E67&gt;='전체 루브릭'!$C$6,"발달 중",IF(E67&gt;='전체 루브릭'!$C$7,"흔들림","집중 보완")))</x:f>
        <x:v>집중 보완</x:v>
      </x:c>
      <x:c r="G67" s="17" t="str">
        <x:v>그림을 보고 주인공의 행동을 두세 단어로 먼저 말해 봅시다.</x:v>
      </x:c>
      <x:c r="H67" s="17" t="str">
        <x:v>행동 문장의 의미와 어순 구성에 집중 지원이 필요합니다.</x:v>
      </x:c>
      <x:c r="I67" s="17" t="str">
        <x:v>교사가 문장을 읽어주고 단어를 한 칸씩 대응시켜 주세요.</x:v>
      </x:c>
    </x:row>
    <x:row r="68" ht="34" customHeight="1">
      <x:c r="A68" s="27" t="str">
        <x:v>Q4</x:v>
      </x:c>
      <x:c r="B68" s="17" t="str">
        <x:v>시도·행동 (Attempt)</x:v>
      </x:c>
      <x:c r="C68" s="17" t="str">
        <x:v>CS0003 (8단어)</x:v>
      </x:c>
      <x:c r="D68" s="17" t="str">
        <x:v>scene_word_unscramble</x:v>
      </x:c>
      <x:c r="E68" s="53" t="n">
        <x:v>36</x:v>
      </x:c>
      <x:c r="F68" s="17" t="str">
        <x:f>IF(E68&gt;='전체 루브릭'!$C$5,"안정",IF(E68&gt;='전체 루브릭'!$C$6,"발달 중",IF(E68&gt;='전체 루브릭'!$C$7,"흔들림","집중 보완")))</x:f>
        <x:v>집중 보완</x:v>
      </x:c>
      <x:c r="G68" s="17" t="str">
        <x:v>그림을 보고 주인공의 행동을 두세 단어로 먼저 말해 봅시다.</x:v>
      </x:c>
      <x:c r="H68" s="17" t="str">
        <x:v>행동 문장의 의미와 어순 구성에 집중 지원이 필요합니다.</x:v>
      </x:c>
      <x:c r="I68" s="17" t="str">
        <x:v>교사가 문장을 읽어주고 단어를 한 칸씩 대응시켜 주세요.</x:v>
      </x:c>
    </x:row>
    <x:row r="69" ht="34" customHeight="1">
      <x:c r="A69" s="27" t="str">
        <x:v>Q4</x:v>
      </x:c>
      <x:c r="B69" s="17" t="str">
        <x:v>시도·행동 (Attempt)</x:v>
      </x:c>
      <x:c r="C69" s="17" t="str">
        <x:v>CS0003 (8단어)</x:v>
      </x:c>
      <x:c r="D69" s="17" t="str">
        <x:v>scene_word_unscramble</x:v>
      </x:c>
      <x:c r="E69" s="53" t="n">
        <x:v>40</x:v>
      </x:c>
      <x:c r="F69" s="17" t="str">
        <x:f>IF(E69&gt;='전체 루브릭'!$C$5,"안정",IF(E69&gt;='전체 루브릭'!$C$6,"발달 중",IF(E69&gt;='전체 루브릭'!$C$7,"흔들림","집중 보완")))</x:f>
        <x:v>집중 보완</x:v>
      </x:c>
      <x:c r="G69" s="17" t="str">
        <x:v>그림을 보고 주인공의 행동을 두세 단어로 먼저 말해 봅시다.</x:v>
      </x:c>
      <x:c r="H69" s="17" t="str">
        <x:v>행동 문장의 의미와 어순 구성에 집중 지원이 필요합니다.</x:v>
      </x:c>
      <x:c r="I69" s="17" t="str">
        <x:v>교사가 문장을 읽어주고 단어를 한 칸씩 대응시켜 주세요.</x:v>
      </x:c>
    </x:row>
    <x:row r="70" ht="34" customHeight="1">
      <x:c r="A70" s="27" t="str">
        <x:v>Q4</x:v>
      </x:c>
      <x:c r="B70" s="17" t="str">
        <x:v>시도·행동 (Attempt)</x:v>
      </x:c>
      <x:c r="C70" s="17" t="str">
        <x:v>CS0003 (8단어)</x:v>
      </x:c>
      <x:c r="D70" s="17" t="str">
        <x:v>scene_word_unscramble</x:v>
      </x:c>
      <x:c r="E70" s="53" t="n">
        <x:v>44</x:v>
      </x:c>
      <x:c r="F70" s="17" t="str">
        <x:f>IF(E70&gt;='전체 루브릭'!$C$5,"안정",IF(E70&gt;='전체 루브릭'!$C$6,"발달 중",IF(E70&gt;='전체 루브릭'!$C$7,"흔들림","집중 보완")))</x:f>
        <x:v>집중 보완</x:v>
      </x:c>
      <x:c r="G70" s="17" t="str">
        <x:v>그림을 보고 주인공의 행동을 두세 단어로 먼저 말해 봅시다.</x:v>
      </x:c>
      <x:c r="H70" s="17" t="str">
        <x:v>행동 문장의 의미와 어순 구성에 집중 지원이 필요합니다.</x:v>
      </x:c>
      <x:c r="I70" s="17" t="str">
        <x:v>교사가 문장을 읽어주고 단어를 한 칸씩 대응시켜 주세요.</x:v>
      </x:c>
    </x:row>
    <x:row r="71" ht="34" customHeight="1">
      <x:c r="A71" s="27" t="str">
        <x:v>Q4</x:v>
      </x:c>
      <x:c r="B71" s="17" t="str">
        <x:v>시도·행동 (Attempt)</x:v>
      </x:c>
      <x:c r="C71" s="17" t="str">
        <x:v>CS0003 (8단어)</x:v>
      </x:c>
      <x:c r="D71" s="17" t="str">
        <x:v>scene_word_unscramble</x:v>
      </x:c>
      <x:c r="E71" s="53" t="n">
        <x:v>48</x:v>
      </x:c>
      <x:c r="F71" s="17" t="str">
        <x:f>IF(E71&gt;='전체 루브릭'!$C$5,"안정",IF(E71&gt;='전체 루브릭'!$C$6,"발달 중",IF(E71&gt;='전체 루브릭'!$C$7,"흔들림","집중 보완")))</x:f>
        <x:v>집중 보완</x:v>
      </x:c>
      <x:c r="G71" s="17" t="str">
        <x:v>그림을 보고 주인공의 행동을 두세 단어로 먼저 말해 봅시다.</x:v>
      </x:c>
      <x:c r="H71" s="17" t="str">
        <x:v>행동 문장의 의미와 어순 구성에 집중 지원이 필요합니다.</x:v>
      </x:c>
      <x:c r="I71" s="17" t="str">
        <x:v>교사가 문장을 읽어주고 단어를 한 칸씩 대응시켜 주세요.</x:v>
      </x:c>
    </x:row>
    <x:row r="72" ht="34" customHeight="1">
      <x:c r="A72" s="27" t="str">
        <x:v>Q4</x:v>
      </x:c>
      <x:c r="B72" s="17" t="str">
        <x:v>시도·행동 (Attempt)</x:v>
      </x:c>
      <x:c r="C72" s="17" t="str">
        <x:v>CS0003 (8단어)</x:v>
      </x:c>
      <x:c r="D72" s="17" t="str">
        <x:v>scene_word_unscramble</x:v>
      </x:c>
      <x:c r="E72" s="53" t="n">
        <x:v>52</x:v>
      </x:c>
      <x:c r="F72" s="17" t="str">
        <x:f>IF(E72&gt;='전체 루브릭'!$C$5,"안정",IF(E72&gt;='전체 루브릭'!$C$6,"발달 중",IF(E72&gt;='전체 루브릭'!$C$7,"흔들림","집중 보완")))</x:f>
        <x:v>흔들림</x:v>
      </x:c>
      <x:c r="G72" s="17" t="str">
        <x:v>먼저 ‘누가’와 ‘무엇을 했는지’를 찾아 문장 앞에 놓아 보세요.</x:v>
      </x:c>
      <x:c r="H72" s="17" t="str">
        <x:v>행동 의미의 일부는 파악했으나 문장 구조 연결이 충분하지 않습니다.</x:v>
      </x:c>
      <x:c r="I72" s="17" t="str">
        <x:v>그림 속 행동을 짧게 말한 뒤 단어 카드로 옮겨 보세요.</x:v>
      </x:c>
    </x:row>
    <x:row r="73" ht="34" customHeight="1">
      <x:c r="A73" s="27" t="str">
        <x:v>Q4</x:v>
      </x:c>
      <x:c r="B73" s="17" t="str">
        <x:v>시도·행동 (Attempt)</x:v>
      </x:c>
      <x:c r="C73" s="17" t="str">
        <x:v>CS0003 (8단어)</x:v>
      </x:c>
      <x:c r="D73" s="17" t="str">
        <x:v>scene_word_unscramble</x:v>
      </x:c>
      <x:c r="E73" s="53" t="n">
        <x:v>56</x:v>
      </x:c>
      <x:c r="F73" s="17" t="str">
        <x:f>IF(E73&gt;='전체 루브릭'!$C$5,"안정",IF(E73&gt;='전체 루브릭'!$C$6,"발달 중",IF(E73&gt;='전체 루브릭'!$C$7,"흔들림","집중 보완")))</x:f>
        <x:v>흔들림</x:v>
      </x:c>
      <x:c r="G73" s="17" t="str">
        <x:v>먼저 ‘누가’와 ‘무엇을 했는지’를 찾아 문장 앞에 놓아 보세요.</x:v>
      </x:c>
      <x:c r="H73" s="17" t="str">
        <x:v>행동 의미의 일부는 파악했으나 문장 구조 연결이 충분하지 않습니다.</x:v>
      </x:c>
      <x:c r="I73" s="17" t="str">
        <x:v>그림 속 행동을 짧게 말한 뒤 단어 카드로 옮겨 보세요.</x:v>
      </x:c>
    </x:row>
    <x:row r="74" ht="34" customHeight="1">
      <x:c r="A74" s="27" t="str">
        <x:v>Q4</x:v>
      </x:c>
      <x:c r="B74" s="17" t="str">
        <x:v>시도·행동 (Attempt)</x:v>
      </x:c>
      <x:c r="C74" s="17" t="str">
        <x:v>CS0003 (8단어)</x:v>
      </x:c>
      <x:c r="D74" s="17" t="str">
        <x:v>scene_word_unscramble</x:v>
      </x:c>
      <x:c r="E74" s="53" t="n">
        <x:v>60</x:v>
      </x:c>
      <x:c r="F74" s="17" t="str">
        <x:f>IF(E74&gt;='전체 루브릭'!$C$5,"안정",IF(E74&gt;='전체 루브릭'!$C$6,"발달 중",IF(E74&gt;='전체 루브릭'!$C$7,"흔들림","집중 보완")))</x:f>
        <x:v>흔들림</x:v>
      </x:c>
      <x:c r="G74" s="17" t="str">
        <x:v>먼저 ‘누가’와 ‘무엇을 했는지’를 찾아 문장 앞에 놓아 보세요.</x:v>
      </x:c>
      <x:c r="H74" s="17" t="str">
        <x:v>행동 의미의 일부는 파악했으나 문장 구조 연결이 충분하지 않습니다.</x:v>
      </x:c>
      <x:c r="I74" s="17" t="str">
        <x:v>그림 속 행동을 짧게 말한 뒤 단어 카드로 옮겨 보세요.</x:v>
      </x:c>
    </x:row>
    <x:row r="75" ht="34" customHeight="1">
      <x:c r="A75" s="27" t="str">
        <x:v>Q4</x:v>
      </x:c>
      <x:c r="B75" s="17" t="str">
        <x:v>시도·행동 (Attempt)</x:v>
      </x:c>
      <x:c r="C75" s="17" t="str">
        <x:v>CS0003 (8단어)</x:v>
      </x:c>
      <x:c r="D75" s="17" t="str">
        <x:v>scene_word_unscramble</x:v>
      </x:c>
      <x:c r="E75" s="53" t="n">
        <x:v>64</x:v>
      </x:c>
      <x:c r="F75" s="17" t="str">
        <x:f>IF(E75&gt;='전체 루브릭'!$C$5,"안정",IF(E75&gt;='전체 루브릭'!$C$6,"발달 중",IF(E75&gt;='전체 루브릭'!$C$7,"흔들림","집중 보완")))</x:f>
        <x:v>흔들림</x:v>
      </x:c>
      <x:c r="G75" s="17" t="str">
        <x:v>먼저 ‘누가’와 ‘무엇을 했는지’를 찾아 문장 앞에 놓아 보세요.</x:v>
      </x:c>
      <x:c r="H75" s="17" t="str">
        <x:v>행동 의미의 일부는 파악했으나 문장 구조 연결이 충분하지 않습니다.</x:v>
      </x:c>
      <x:c r="I75" s="17" t="str">
        <x:v>그림 속 행동을 짧게 말한 뒤 단어 카드로 옮겨 보세요.</x:v>
      </x:c>
    </x:row>
    <x:row r="76" ht="34" customHeight="1">
      <x:c r="A76" s="27" t="str">
        <x:v>Q4</x:v>
      </x:c>
      <x:c r="B76" s="17" t="str">
        <x:v>시도·행동 (Attempt)</x:v>
      </x:c>
      <x:c r="C76" s="17" t="str">
        <x:v>CS0003 (8단어)</x:v>
      </x:c>
      <x:c r="D76" s="17" t="str">
        <x:v>scene_word_unscramble</x:v>
      </x:c>
      <x:c r="E76" s="53" t="n">
        <x:v>68</x:v>
      </x:c>
      <x:c r="F76" s="17" t="str">
        <x:f>IF(E76&gt;='전체 루브릭'!$C$5,"안정",IF(E76&gt;='전체 루브릭'!$C$6,"발달 중",IF(E76&gt;='전체 루브릭'!$C$7,"흔들림","집중 보완")))</x:f>
        <x:v>흔들림</x:v>
      </x:c>
      <x:c r="G76" s="17" t="str">
        <x:v>먼저 ‘누가’와 ‘무엇을 했는지’를 찾아 문장 앞에 놓아 보세요.</x:v>
      </x:c>
      <x:c r="H76" s="17" t="str">
        <x:v>행동 의미의 일부는 파악했으나 문장 구조 연결이 충분하지 않습니다.</x:v>
      </x:c>
      <x:c r="I76" s="17" t="str">
        <x:v>그림 속 행동을 짧게 말한 뒤 단어 카드로 옮겨 보세요.</x:v>
      </x:c>
    </x:row>
    <x:row r="77" ht="34" customHeight="1">
      <x:c r="A77" s="27" t="str">
        <x:v>Q4</x:v>
      </x:c>
      <x:c r="B77" s="17" t="str">
        <x:v>시도·행동 (Attempt)</x:v>
      </x:c>
      <x:c r="C77" s="17" t="str">
        <x:v>CS0003 (8단어)</x:v>
      </x:c>
      <x:c r="D77" s="17" t="str">
        <x:v>scene_word_unscramble</x:v>
      </x:c>
      <x:c r="E77" s="53" t="n">
        <x:v>72</x:v>
      </x:c>
      <x:c r="F77" s="17" t="str">
        <x:f>IF(E77&gt;='전체 루브릭'!$C$5,"안정",IF(E77&gt;='전체 루브릭'!$C$6,"발달 중",IF(E77&gt;='전체 루브릭'!$C$7,"흔들림","집중 보완")))</x:f>
        <x:v>발달 중</x:v>
      </x:c>
      <x:c r="G77" s="17" t="str">
        <x:v>행동 문장의 큰 구조는 맞아요. 어순이 바뀐 단어를 다시 살펴보세요.</x:v>
      </x:c>
      <x:c r="H77" s="17" t="str">
        <x:v>핵심 행동은 이해했으나 일부 기능어 또는 세부 어순이 흔들렸습니다.</x:v>
      </x:c>
      <x:c r="I77" s="17" t="str">
        <x:v>주어와 동사를 먼저 고정한 뒤 나머지 단어를 배치하세요.</x:v>
      </x:c>
    </x:row>
    <x:row r="78" ht="34" customHeight="1">
      <x:c r="A78" s="27" t="str">
        <x:v>Q4</x:v>
      </x:c>
      <x:c r="B78" s="17" t="str">
        <x:v>시도·행동 (Attempt)</x:v>
      </x:c>
      <x:c r="C78" s="17" t="str">
        <x:v>CS0003 (8단어)</x:v>
      </x:c>
      <x:c r="D78" s="17" t="str">
        <x:v>scene_word_unscramble</x:v>
      </x:c>
      <x:c r="E78" s="53" t="n">
        <x:v>76</x:v>
      </x:c>
      <x:c r="F78" s="17" t="str">
        <x:f>IF(E78&gt;='전체 루브릭'!$C$5,"안정",IF(E78&gt;='전체 루브릭'!$C$6,"발달 중",IF(E78&gt;='전체 루브릭'!$C$7,"흔들림","집중 보완")))</x:f>
        <x:v>발달 중</x:v>
      </x:c>
      <x:c r="G78" s="17" t="str">
        <x:v>행동 문장의 큰 구조는 맞아요. 어순이 바뀐 단어를 다시 살펴보세요.</x:v>
      </x:c>
      <x:c r="H78" s="17" t="str">
        <x:v>핵심 행동은 이해했으나 일부 기능어 또는 세부 어순이 흔들렸습니다.</x:v>
      </x:c>
      <x:c r="I78" s="17" t="str">
        <x:v>주어와 동사를 먼저 고정한 뒤 나머지 단어를 배치하세요.</x:v>
      </x:c>
    </x:row>
    <x:row r="79" ht="34" customHeight="1">
      <x:c r="A79" s="27" t="str">
        <x:v>Q4</x:v>
      </x:c>
      <x:c r="B79" s="17" t="str">
        <x:v>시도·행동 (Attempt)</x:v>
      </x:c>
      <x:c r="C79" s="17" t="str">
        <x:v>CS0003 (8단어)</x:v>
      </x:c>
      <x:c r="D79" s="17" t="str">
        <x:v>scene_word_unscramble</x:v>
      </x:c>
      <x:c r="E79" s="53" t="n">
        <x:v>84</x:v>
      </x:c>
      <x:c r="F79" s="17" t="str">
        <x:f>IF(E79&gt;='전체 루브릭'!$C$5,"안정",IF(E79&gt;='전체 루브릭'!$C$6,"발달 중",IF(E79&gt;='전체 루브릭'!$C$7,"흔들림","집중 보완")))</x:f>
        <x:v>발달 중</x:v>
      </x:c>
      <x:c r="G79" s="17" t="str">
        <x:v>행동 문장의 큰 구조는 맞아요. 어순이 바뀐 단어를 다시 살펴보세요.</x:v>
      </x:c>
      <x:c r="H79" s="17" t="str">
        <x:v>핵심 행동은 이해했으나 일부 기능어 또는 세부 어순이 흔들렸습니다.</x:v>
      </x:c>
      <x:c r="I79" s="17" t="str">
        <x:v>주어와 동사를 먼저 고정한 뒤 나머지 단어를 배치하세요.</x:v>
      </x:c>
    </x:row>
    <x:row r="80" ht="34" customHeight="1">
      <x:c r="A80" s="27" t="str">
        <x:v>Q4</x:v>
      </x:c>
      <x:c r="B80" s="17" t="str">
        <x:v>시도·행동 (Attempt)</x:v>
      </x:c>
      <x:c r="C80" s="17" t="str">
        <x:v>CS0003 (8단어)</x:v>
      </x:c>
      <x:c r="D80" s="17" t="str">
        <x:v>scene_word_unscramble</x:v>
      </x:c>
      <x:c r="E80" s="53" t="n">
        <x:v>100</x:v>
      </x:c>
      <x:c r="F80" s="17" t="str">
        <x:f>IF(E80&gt;='전체 루브릭'!$C$5,"안정",IF(E80&gt;='전체 루브릭'!$C$6,"발달 중",IF(E80&gt;='전체 루브릭'!$C$7,"흔들림","집중 보완")))</x:f>
        <x:v>안정</x:v>
      </x:c>
      <x:c r="G80" s="17" t="str">
        <x:v>누가 무엇을 했는지 문장을 정확한 순서로 만들었어요.</x:v>
      </x:c>
      <x:c r="H80" s="17" t="str">
        <x:v>행위자·핵심 행동·문장 구조를 안정적으로 구성했습니다.</x:v>
      </x:c>
      <x:c r="I80" s="17" t="str">
        <x:v>같은 장면을 다른 표현의 문장으로 바꾸어 말해 보세요.</x:v>
      </x:c>
    </x:row>
    <x:row r="81" ht="34" customHeight="1">
      <x:c r="A81" s="27" t="str">
        <x:v>Q4</x:v>
      </x:c>
      <x:c r="B81" s="17" t="str">
        <x:v>시도·행동 (Attempt)</x:v>
      </x:c>
      <x:c r="C81" s="17" t="str">
        <x:v>CS0006 (6단어)</x:v>
      </x:c>
      <x:c r="D81" s="17" t="str">
        <x:v>scene_word_unscramble</x:v>
      </x:c>
      <x:c r="E81" s="53" t="n">
        <x:v>0</x:v>
      </x:c>
      <x:c r="F81" s="17" t="str">
        <x:f>IF(E81&gt;='전체 루브릭'!$C$5,"안정",IF(E81&gt;='전체 루브릭'!$C$6,"발달 중",IF(E81&gt;='전체 루브릭'!$C$7,"흔들림","집중 보완")))</x:f>
        <x:v>집중 보완</x:v>
      </x:c>
      <x:c r="G81" s="17" t="str">
        <x:v>그림을 보고 주인공의 행동을 두세 단어로 먼저 말해 봅시다.</x:v>
      </x:c>
      <x:c r="H81" s="17" t="str">
        <x:v>행동 문장의 의미와 어순 구성에 집중 지원이 필요합니다.</x:v>
      </x:c>
      <x:c r="I81" s="17" t="str">
        <x:v>교사가 문장을 읽어주고 단어를 한 칸씩 대응시켜 주세요.</x:v>
      </x:c>
    </x:row>
    <x:row r="82" ht="34" customHeight="1">
      <x:c r="A82" s="27" t="str">
        <x:v>Q4</x:v>
      </x:c>
      <x:c r="B82" s="17" t="str">
        <x:v>시도·행동 (Attempt)</x:v>
      </x:c>
      <x:c r="C82" s="17" t="str">
        <x:v>CS0006 (6단어)</x:v>
      </x:c>
      <x:c r="D82" s="17" t="str">
        <x:v>scene_word_unscramble</x:v>
      </x:c>
      <x:c r="E82" s="53" t="n">
        <x:v>10</x:v>
      </x:c>
      <x:c r="F82" s="17" t="str">
        <x:f>IF(E82&gt;='전체 루브릭'!$C$5,"안정",IF(E82&gt;='전체 루브릭'!$C$6,"발달 중",IF(E82&gt;='전체 루브릭'!$C$7,"흔들림","집중 보완")))</x:f>
        <x:v>집중 보완</x:v>
      </x:c>
      <x:c r="G82" s="17" t="str">
        <x:v>그림을 보고 주인공의 행동을 두세 단어로 먼저 말해 봅시다.</x:v>
      </x:c>
      <x:c r="H82" s="17" t="str">
        <x:v>행동 문장의 의미와 어순 구성에 집중 지원이 필요합니다.</x:v>
      </x:c>
      <x:c r="I82" s="17" t="str">
        <x:v>교사가 문장을 읽어주고 단어를 한 칸씩 대응시켜 주세요.</x:v>
      </x:c>
    </x:row>
    <x:row r="83" ht="34" customHeight="1">
      <x:c r="A83" s="27" t="str">
        <x:v>Q4</x:v>
      </x:c>
      <x:c r="B83" s="17" t="str">
        <x:v>시도·행동 (Attempt)</x:v>
      </x:c>
      <x:c r="C83" s="17" t="str">
        <x:v>CS0006 (6단어)</x:v>
      </x:c>
      <x:c r="D83" s="17" t="str">
        <x:v>scene_word_unscramble</x:v>
      </x:c>
      <x:c r="E83" s="53" t="n">
        <x:v>19</x:v>
      </x:c>
      <x:c r="F83" s="17" t="str">
        <x:f>IF(E83&gt;='전체 루브릭'!$C$5,"안정",IF(E83&gt;='전체 루브릭'!$C$6,"발달 중",IF(E83&gt;='전체 루브릭'!$C$7,"흔들림","집중 보완")))</x:f>
        <x:v>집중 보완</x:v>
      </x:c>
      <x:c r="G83" s="17" t="str">
        <x:v>그림을 보고 주인공의 행동을 두세 단어로 먼저 말해 봅시다.</x:v>
      </x:c>
      <x:c r="H83" s="17" t="str">
        <x:v>행동 문장의 의미와 어순 구성에 집중 지원이 필요합니다.</x:v>
      </x:c>
      <x:c r="I83" s="17" t="str">
        <x:v>교사가 문장을 읽어주고 단어를 한 칸씩 대응시켜 주세요.</x:v>
      </x:c>
    </x:row>
    <x:row r="84" ht="34" customHeight="1">
      <x:c r="A84" s="27" t="str">
        <x:v>Q4</x:v>
      </x:c>
      <x:c r="B84" s="17" t="str">
        <x:v>시도·행동 (Attempt)</x:v>
      </x:c>
      <x:c r="C84" s="17" t="str">
        <x:v>CS0006 (6단어)</x:v>
      </x:c>
      <x:c r="D84" s="17" t="str">
        <x:v>scene_word_unscramble</x:v>
      </x:c>
      <x:c r="E84" s="53" t="n">
        <x:v>24</x:v>
      </x:c>
      <x:c r="F84" s="17" t="str">
        <x:f>IF(E84&gt;='전체 루브릭'!$C$5,"안정",IF(E84&gt;='전체 루브릭'!$C$6,"발달 중",IF(E84&gt;='전체 루브릭'!$C$7,"흔들림","집중 보완")))</x:f>
        <x:v>집중 보완</x:v>
      </x:c>
      <x:c r="G84" s="17" t="str">
        <x:v>그림을 보고 주인공의 행동을 두세 단어로 먼저 말해 봅시다.</x:v>
      </x:c>
      <x:c r="H84" s="17" t="str">
        <x:v>행동 문장의 의미와 어순 구성에 집중 지원이 필요합니다.</x:v>
      </x:c>
      <x:c r="I84" s="17" t="str">
        <x:v>교사가 문장을 읽어주고 단어를 한 칸씩 대응시켜 주세요.</x:v>
      </x:c>
    </x:row>
    <x:row r="85" ht="34" customHeight="1">
      <x:c r="A85" s="27" t="str">
        <x:v>Q4</x:v>
      </x:c>
      <x:c r="B85" s="17" t="str">
        <x:v>시도·행동 (Attempt)</x:v>
      </x:c>
      <x:c r="C85" s="17" t="str">
        <x:v>CS0006 (6단어)</x:v>
      </x:c>
      <x:c r="D85" s="17" t="str">
        <x:v>scene_word_unscramble</x:v>
      </x:c>
      <x:c r="E85" s="53" t="n">
        <x:v>29</x:v>
      </x:c>
      <x:c r="F85" s="17" t="str">
        <x:f>IF(E85&gt;='전체 루브릭'!$C$5,"안정",IF(E85&gt;='전체 루브릭'!$C$6,"발달 중",IF(E85&gt;='전체 루브릭'!$C$7,"흔들림","집중 보완")))</x:f>
        <x:v>집중 보완</x:v>
      </x:c>
      <x:c r="G85" s="17" t="str">
        <x:v>그림을 보고 주인공의 행동을 두세 단어로 먼저 말해 봅시다.</x:v>
      </x:c>
      <x:c r="H85" s="17" t="str">
        <x:v>행동 문장의 의미와 어순 구성에 집중 지원이 필요합니다.</x:v>
      </x:c>
      <x:c r="I85" s="17" t="str">
        <x:v>교사가 문장을 읽어주고 단어를 한 칸씩 대응시켜 주세요.</x:v>
      </x:c>
    </x:row>
    <x:row r="86" ht="34" customHeight="1">
      <x:c r="A86" s="27" t="str">
        <x:v>Q4</x:v>
      </x:c>
      <x:c r="B86" s="17" t="str">
        <x:v>시도·행동 (Attempt)</x:v>
      </x:c>
      <x:c r="C86" s="17" t="str">
        <x:v>CS0006 (6단어)</x:v>
      </x:c>
      <x:c r="D86" s="17" t="str">
        <x:v>scene_word_unscramble</x:v>
      </x:c>
      <x:c r="E86" s="53" t="n">
        <x:v>33</x:v>
      </x:c>
      <x:c r="F86" s="17" t="str">
        <x:f>IF(E86&gt;='전체 루브릭'!$C$5,"안정",IF(E86&gt;='전체 루브릭'!$C$6,"발달 중",IF(E86&gt;='전체 루브릭'!$C$7,"흔들림","집중 보완")))</x:f>
        <x:v>집중 보완</x:v>
      </x:c>
      <x:c r="G86" s="17" t="str">
        <x:v>그림을 보고 주인공의 행동을 두세 단어로 먼저 말해 봅시다.</x:v>
      </x:c>
      <x:c r="H86" s="17" t="str">
        <x:v>행동 문장의 의미와 어순 구성에 집중 지원이 필요합니다.</x:v>
      </x:c>
      <x:c r="I86" s="17" t="str">
        <x:v>교사가 문장을 읽어주고 단어를 한 칸씩 대응시켜 주세요.</x:v>
      </x:c>
    </x:row>
    <x:row r="87" ht="34" customHeight="1">
      <x:c r="A87" s="27" t="str">
        <x:v>Q4</x:v>
      </x:c>
      <x:c r="B87" s="17" t="str">
        <x:v>시도·행동 (Attempt)</x:v>
      </x:c>
      <x:c r="C87" s="17" t="str">
        <x:v>CS0006 (6단어)</x:v>
      </x:c>
      <x:c r="D87" s="17" t="str">
        <x:v>scene_word_unscramble</x:v>
      </x:c>
      <x:c r="E87" s="53" t="n">
        <x:v>43</x:v>
      </x:c>
      <x:c r="F87" s="17" t="str">
        <x:f>IF(E87&gt;='전체 루브릭'!$C$5,"안정",IF(E87&gt;='전체 루브릭'!$C$6,"발달 중",IF(E87&gt;='전체 루브릭'!$C$7,"흔들림","집중 보완")))</x:f>
        <x:v>집중 보완</x:v>
      </x:c>
      <x:c r="G87" s="17" t="str">
        <x:v>그림을 보고 주인공의 행동을 두세 단어로 먼저 말해 봅시다.</x:v>
      </x:c>
      <x:c r="H87" s="17" t="str">
        <x:v>행동 문장의 의미와 어순 구성에 집중 지원이 필요합니다.</x:v>
      </x:c>
      <x:c r="I87" s="17" t="str">
        <x:v>교사가 문장을 읽어주고 단어를 한 칸씩 대응시켜 주세요.</x:v>
      </x:c>
    </x:row>
    <x:row r="88" ht="34" customHeight="1">
      <x:c r="A88" s="27" t="str">
        <x:v>Q4</x:v>
      </x:c>
      <x:c r="B88" s="17" t="str">
        <x:v>시도·행동 (Attempt)</x:v>
      </x:c>
      <x:c r="C88" s="17" t="str">
        <x:v>CS0006 (6단어)</x:v>
      </x:c>
      <x:c r="D88" s="17" t="str">
        <x:v>scene_word_unscramble</x:v>
      </x:c>
      <x:c r="E88" s="53" t="n">
        <x:v>48</x:v>
      </x:c>
      <x:c r="F88" s="17" t="str">
        <x:f>IF(E88&gt;='전체 루브릭'!$C$5,"안정",IF(E88&gt;='전체 루브릭'!$C$6,"발달 중",IF(E88&gt;='전체 루브릭'!$C$7,"흔들림","집중 보완")))</x:f>
        <x:v>집중 보완</x:v>
      </x:c>
      <x:c r="G88" s="17" t="str">
        <x:v>그림을 보고 주인공의 행동을 두세 단어로 먼저 말해 봅시다.</x:v>
      </x:c>
      <x:c r="H88" s="17" t="str">
        <x:v>행동 문장의 의미와 어순 구성에 집중 지원이 필요합니다.</x:v>
      </x:c>
      <x:c r="I88" s="17" t="str">
        <x:v>교사가 문장을 읽어주고 단어를 한 칸씩 대응시켜 주세요.</x:v>
      </x:c>
    </x:row>
    <x:row r="89" ht="34" customHeight="1">
      <x:c r="A89" s="27" t="str">
        <x:v>Q4</x:v>
      </x:c>
      <x:c r="B89" s="17" t="str">
        <x:v>시도·행동 (Attempt)</x:v>
      </x:c>
      <x:c r="C89" s="17" t="str">
        <x:v>CS0006 (6단어)</x:v>
      </x:c>
      <x:c r="D89" s="17" t="str">
        <x:v>scene_word_unscramble</x:v>
      </x:c>
      <x:c r="E89" s="53" t="n">
        <x:v>52</x:v>
      </x:c>
      <x:c r="F89" s="17" t="str">
        <x:f>IF(E89&gt;='전체 루브릭'!$C$5,"안정",IF(E89&gt;='전체 루브릭'!$C$6,"발달 중",IF(E89&gt;='전체 루브릭'!$C$7,"흔들림","집중 보완")))</x:f>
        <x:v>흔들림</x:v>
      </x:c>
      <x:c r="G89" s="17" t="str">
        <x:v>먼저 ‘누가’와 ‘무엇을 했는지’를 찾아 문장 앞에 놓아 보세요.</x:v>
      </x:c>
      <x:c r="H89" s="17" t="str">
        <x:v>행동 의미의 일부는 파악했으나 문장 구조 연결이 충분하지 않습니다.</x:v>
      </x:c>
      <x:c r="I89" s="17" t="str">
        <x:v>그림 속 행동을 짧게 말한 뒤 단어 카드로 옮겨 보세요.</x:v>
      </x:c>
    </x:row>
    <x:row r="90" ht="34" customHeight="1">
      <x:c r="A90" s="27" t="str">
        <x:v>Q4</x:v>
      </x:c>
      <x:c r="B90" s="17" t="str">
        <x:v>시도·행동 (Attempt)</x:v>
      </x:c>
      <x:c r="C90" s="17" t="str">
        <x:v>CS0006 (6단어)</x:v>
      </x:c>
      <x:c r="D90" s="17" t="str">
        <x:v>scene_word_unscramble</x:v>
      </x:c>
      <x:c r="E90" s="53" t="n">
        <x:v>57</x:v>
      </x:c>
      <x:c r="F90" s="17" t="str">
        <x:f>IF(E90&gt;='전체 루브릭'!$C$5,"안정",IF(E90&gt;='전체 루브릭'!$C$6,"발달 중",IF(E90&gt;='전체 루브릭'!$C$7,"흔들림","집중 보완")))</x:f>
        <x:v>흔들림</x:v>
      </x:c>
      <x:c r="G90" s="17" t="str">
        <x:v>먼저 ‘누가’와 ‘무엇을 했는지’를 찾아 문장 앞에 놓아 보세요.</x:v>
      </x:c>
      <x:c r="H90" s="17" t="str">
        <x:v>행동 의미의 일부는 파악했으나 문장 구조 연결이 충분하지 않습니다.</x:v>
      </x:c>
      <x:c r="I90" s="17" t="str">
        <x:v>그림 속 행동을 짧게 말한 뒤 단어 카드로 옮겨 보세요.</x:v>
      </x:c>
    </x:row>
    <x:row r="91" ht="34" customHeight="1">
      <x:c r="A91" s="27" t="str">
        <x:v>Q4</x:v>
      </x:c>
      <x:c r="B91" s="17" t="str">
        <x:v>시도·행동 (Attempt)</x:v>
      </x:c>
      <x:c r="C91" s="17" t="str">
        <x:v>CS0006 (6단어)</x:v>
      </x:c>
      <x:c r="D91" s="17" t="str">
        <x:v>scene_word_unscramble</x:v>
      </x:c>
      <x:c r="E91" s="53" t="n">
        <x:v>67</x:v>
      </x:c>
      <x:c r="F91" s="17" t="str">
        <x:f>IF(E91&gt;='전체 루브릭'!$C$5,"안정",IF(E91&gt;='전체 루브릭'!$C$6,"발달 중",IF(E91&gt;='전체 루브릭'!$C$7,"흔들림","집중 보완")))</x:f>
        <x:v>흔들림</x:v>
      </x:c>
      <x:c r="G91" s="17" t="str">
        <x:v>먼저 ‘누가’와 ‘무엇을 했는지’를 찾아 문장 앞에 놓아 보세요.</x:v>
      </x:c>
      <x:c r="H91" s="17" t="str">
        <x:v>행동 의미의 일부는 파악했으나 문장 구조 연결이 충분하지 않습니다.</x:v>
      </x:c>
      <x:c r="I91" s="17" t="str">
        <x:v>그림 속 행동을 짧게 말한 뒤 단어 카드로 옮겨 보세요.</x:v>
      </x:c>
    </x:row>
    <x:row r="92" ht="34" customHeight="1">
      <x:c r="A92" s="27" t="str">
        <x:v>Q4</x:v>
      </x:c>
      <x:c r="B92" s="17" t="str">
        <x:v>시도·행동 (Attempt)</x:v>
      </x:c>
      <x:c r="C92" s="17" t="str">
        <x:v>CS0006 (6단어)</x:v>
      </x:c>
      <x:c r="D92" s="17" t="str">
        <x:v>scene_word_unscramble</x:v>
      </x:c>
      <x:c r="E92" s="53" t="n">
        <x:v>71</x:v>
      </x:c>
      <x:c r="F92" s="17" t="str">
        <x:f>IF(E92&gt;='전체 루브릭'!$C$5,"안정",IF(E92&gt;='전체 루브릭'!$C$6,"발달 중",IF(E92&gt;='전체 루브릭'!$C$7,"흔들림","집중 보완")))</x:f>
        <x:v>발달 중</x:v>
      </x:c>
      <x:c r="G92" s="17" t="str">
        <x:v>행동 문장의 큰 구조는 맞아요. 어순이 바뀐 단어를 다시 살펴보세요.</x:v>
      </x:c>
      <x:c r="H92" s="17" t="str">
        <x:v>핵심 행동은 이해했으나 일부 기능어 또는 세부 어순이 흔들렸습니다.</x:v>
      </x:c>
      <x:c r="I92" s="17" t="str">
        <x:v>주어와 동사를 먼저 고정한 뒤 나머지 단어를 배치하세요.</x:v>
      </x:c>
    </x:row>
    <x:row r="93" ht="34" customHeight="1">
      <x:c r="A93" s="27" t="str">
        <x:v>Q4</x:v>
      </x:c>
      <x:c r="B93" s="17" t="str">
        <x:v>시도·행동 (Attempt)</x:v>
      </x:c>
      <x:c r="C93" s="17" t="str">
        <x:v>CS0006 (6단어)</x:v>
      </x:c>
      <x:c r="D93" s="17" t="str">
        <x:v>scene_word_unscramble</x:v>
      </x:c>
      <x:c r="E93" s="53" t="n">
        <x:v>81</x:v>
      </x:c>
      <x:c r="F93" s="17" t="str">
        <x:f>IF(E93&gt;='전체 루브릭'!$C$5,"안정",IF(E93&gt;='전체 루브릭'!$C$6,"발달 중",IF(E93&gt;='전체 루브릭'!$C$7,"흔들림","집중 보완")))</x:f>
        <x:v>발달 중</x:v>
      </x:c>
      <x:c r="G93" s="17" t="str">
        <x:v>행동 문장의 큰 구조는 맞아요. 어순이 바뀐 단어를 다시 살펴보세요.</x:v>
      </x:c>
      <x:c r="H93" s="17" t="str">
        <x:v>핵심 행동은 이해했으나 일부 기능어 또는 세부 어순이 흔들렸습니다.</x:v>
      </x:c>
      <x:c r="I93" s="17" t="str">
        <x:v>주어와 동사를 먼저 고정한 뒤 나머지 단어를 배치하세요.</x:v>
      </x:c>
    </x:row>
    <x:row r="94" ht="34" customHeight="1">
      <x:c r="A94" s="27" t="str">
        <x:v>Q4</x:v>
      </x:c>
      <x:c r="B94" s="17" t="str">
        <x:v>시도·행동 (Attempt)</x:v>
      </x:c>
      <x:c r="C94" s="17" t="str">
        <x:v>CS0006 (6단어)</x:v>
      </x:c>
      <x:c r="D94" s="17" t="str">
        <x:v>scene_word_unscramble</x:v>
      </x:c>
      <x:c r="E94" s="53" t="n">
        <x:v>100</x:v>
      </x:c>
      <x:c r="F94" s="17" t="str">
        <x:f>IF(E94&gt;='전체 루브릭'!$C$5,"안정",IF(E94&gt;='전체 루브릭'!$C$6,"발달 중",IF(E94&gt;='전체 루브릭'!$C$7,"흔들림","집중 보완")))</x:f>
        <x:v>안정</x:v>
      </x:c>
      <x:c r="G94" s="17" t="str">
        <x:v>누가 무엇을 했는지 문장을 정확한 순서로 만들었어요.</x:v>
      </x:c>
      <x:c r="H94" s="17" t="str">
        <x:v>행위자·핵심 행동·문장 구조를 안정적으로 구성했습니다.</x:v>
      </x:c>
      <x:c r="I94" s="17" t="str">
        <x:v>같은 장면을 다른 표현의 문장으로 바꾸어 말해 보세요.</x:v>
      </x:c>
    </x:row>
    <x:row r="95" ht="34" customHeight="1">
      <x:c r="A95" s="27" t="str">
        <x:v>Q4</x:v>
      </x:c>
      <x:c r="B95" s="17" t="str">
        <x:v>시도·행동 (Attempt)</x:v>
      </x:c>
      <x:c r="C95" s="17" t="str">
        <x:v>OG0005 (8단어)</x:v>
      </x:c>
      <x:c r="D95" s="17" t="str">
        <x:v>scene_word_unscramble</x:v>
      </x:c>
      <x:c r="E95" s="53" t="n">
        <x:v>0</x:v>
      </x:c>
      <x:c r="F95" s="17" t="str">
        <x:f>IF(E95&gt;='전체 루브릭'!$C$5,"안정",IF(E95&gt;='전체 루브릭'!$C$6,"발달 중",IF(E95&gt;='전체 루브릭'!$C$7,"흔들림","집중 보완")))</x:f>
        <x:v>집중 보완</x:v>
      </x:c>
      <x:c r="G95" s="17" t="str">
        <x:v>그림을 보고 주인공의 행동을 두세 단어로 먼저 말해 봅시다.</x:v>
      </x:c>
      <x:c r="H95" s="17" t="str">
        <x:v>행동 문장의 의미와 어순 구성에 집중 지원이 필요합니다.</x:v>
      </x:c>
      <x:c r="I95" s="17" t="str">
        <x:v>교사가 문장을 읽어주고 단어를 한 칸씩 대응시켜 주세요.</x:v>
      </x:c>
    </x:row>
    <x:row r="96" ht="34" customHeight="1">
      <x:c r="A96" s="27" t="str">
        <x:v>Q4</x:v>
      </x:c>
      <x:c r="B96" s="17" t="str">
        <x:v>시도·행동 (Attempt)</x:v>
      </x:c>
      <x:c r="C96" s="17" t="str">
        <x:v>OG0005 (8단어)</x:v>
      </x:c>
      <x:c r="D96" s="17" t="str">
        <x:v>scene_word_unscramble</x:v>
      </x:c>
      <x:c r="E96" s="53" t="n">
        <x:v>8</x:v>
      </x:c>
      <x:c r="F96" s="17" t="str">
        <x:f>IF(E96&gt;='전체 루브릭'!$C$5,"안정",IF(E96&gt;='전체 루브릭'!$C$6,"발달 중",IF(E96&gt;='전체 루브릭'!$C$7,"흔들림","집중 보완")))</x:f>
        <x:v>집중 보완</x:v>
      </x:c>
      <x:c r="G96" s="17" t="str">
        <x:v>그림을 보고 주인공의 행동을 두세 단어로 먼저 말해 봅시다.</x:v>
      </x:c>
      <x:c r="H96" s="17" t="str">
        <x:v>행동 문장의 의미와 어순 구성에 집중 지원이 필요합니다.</x:v>
      </x:c>
      <x:c r="I96" s="17" t="str">
        <x:v>교사가 문장을 읽어주고 단어를 한 칸씩 대응시켜 주세요.</x:v>
      </x:c>
    </x:row>
    <x:row r="97" ht="34" customHeight="1">
      <x:c r="A97" s="27" t="str">
        <x:v>Q4</x:v>
      </x:c>
      <x:c r="B97" s="17" t="str">
        <x:v>시도·행동 (Attempt)</x:v>
      </x:c>
      <x:c r="C97" s="17" t="str">
        <x:v>OG0005 (8단어)</x:v>
      </x:c>
      <x:c r="D97" s="17" t="str">
        <x:v>scene_word_unscramble</x:v>
      </x:c>
      <x:c r="E97" s="53" t="n">
        <x:v>16</x:v>
      </x:c>
      <x:c r="F97" s="17" t="str">
        <x:f>IF(E97&gt;='전체 루브릭'!$C$5,"안정",IF(E97&gt;='전체 루브릭'!$C$6,"발달 중",IF(E97&gt;='전체 루브릭'!$C$7,"흔들림","집중 보완")))</x:f>
        <x:v>집중 보완</x:v>
      </x:c>
      <x:c r="G97" s="17" t="str">
        <x:v>그림을 보고 주인공의 행동을 두세 단어로 먼저 말해 봅시다.</x:v>
      </x:c>
      <x:c r="H97" s="17" t="str">
        <x:v>행동 문장의 의미와 어순 구성에 집중 지원이 필요합니다.</x:v>
      </x:c>
      <x:c r="I97" s="17" t="str">
        <x:v>교사가 문장을 읽어주고 단어를 한 칸씩 대응시켜 주세요.</x:v>
      </x:c>
    </x:row>
    <x:row r="98" ht="34" customHeight="1">
      <x:c r="A98" s="27" t="str">
        <x:v>Q4</x:v>
      </x:c>
      <x:c r="B98" s="17" t="str">
        <x:v>시도·행동 (Attempt)</x:v>
      </x:c>
      <x:c r="C98" s="17" t="str">
        <x:v>OG0005 (8단어)</x:v>
      </x:c>
      <x:c r="D98" s="17" t="str">
        <x:v>scene_word_unscramble</x:v>
      </x:c>
      <x:c r="E98" s="53" t="n">
        <x:v>20</x:v>
      </x:c>
      <x:c r="F98" s="17" t="str">
        <x:f>IF(E98&gt;='전체 루브릭'!$C$5,"안정",IF(E98&gt;='전체 루브릭'!$C$6,"발달 중",IF(E98&gt;='전체 루브릭'!$C$7,"흔들림","집중 보완")))</x:f>
        <x:v>집중 보완</x:v>
      </x:c>
      <x:c r="G98" s="17" t="str">
        <x:v>그림을 보고 주인공의 행동을 두세 단어로 먼저 말해 봅시다.</x:v>
      </x:c>
      <x:c r="H98" s="17" t="str">
        <x:v>행동 문장의 의미와 어순 구성에 집중 지원이 필요합니다.</x:v>
      </x:c>
      <x:c r="I98" s="17" t="str">
        <x:v>교사가 문장을 읽어주고 단어를 한 칸씩 대응시켜 주세요.</x:v>
      </x:c>
    </x:row>
    <x:row r="99" ht="34" customHeight="1">
      <x:c r="A99" s="27" t="str">
        <x:v>Q4</x:v>
      </x:c>
      <x:c r="B99" s="17" t="str">
        <x:v>시도·행동 (Attempt)</x:v>
      </x:c>
      <x:c r="C99" s="17" t="str">
        <x:v>OG0005 (8단어)</x:v>
      </x:c>
      <x:c r="D99" s="17" t="str">
        <x:v>scene_word_unscramble</x:v>
      </x:c>
      <x:c r="E99" s="53" t="n">
        <x:v>24</x:v>
      </x:c>
      <x:c r="F99" s="17" t="str">
        <x:f>IF(E99&gt;='전체 루브릭'!$C$5,"안정",IF(E99&gt;='전체 루브릭'!$C$6,"발달 중",IF(E99&gt;='전체 루브릭'!$C$7,"흔들림","집중 보완")))</x:f>
        <x:v>집중 보완</x:v>
      </x:c>
      <x:c r="G99" s="17" t="str">
        <x:v>그림을 보고 주인공의 행동을 두세 단어로 먼저 말해 봅시다.</x:v>
      </x:c>
      <x:c r="H99" s="17" t="str">
        <x:v>행동 문장의 의미와 어순 구성에 집중 지원이 필요합니다.</x:v>
      </x:c>
      <x:c r="I99" s="17" t="str">
        <x:v>교사가 문장을 읽어주고 단어를 한 칸씩 대응시켜 주세요.</x:v>
      </x:c>
    </x:row>
    <x:row r="100" ht="34" customHeight="1">
      <x:c r="A100" s="27" t="str">
        <x:v>Q4</x:v>
      </x:c>
      <x:c r="B100" s="17" t="str">
        <x:v>시도·행동 (Attempt)</x:v>
      </x:c>
      <x:c r="C100" s="17" t="str">
        <x:v>OG0005 (8단어)</x:v>
      </x:c>
      <x:c r="D100" s="17" t="str">
        <x:v>scene_word_unscramble</x:v>
      </x:c>
      <x:c r="E100" s="53" t="n">
        <x:v>28</x:v>
      </x:c>
      <x:c r="F100" s="17" t="str">
        <x:f>IF(E100&gt;='전체 루브릭'!$C$5,"안정",IF(E100&gt;='전체 루브릭'!$C$6,"발달 중",IF(E100&gt;='전체 루브릭'!$C$7,"흔들림","집중 보완")))</x:f>
        <x:v>집중 보완</x:v>
      </x:c>
      <x:c r="G100" s="17" t="str">
        <x:v>그림을 보고 주인공의 행동을 두세 단어로 먼저 말해 봅시다.</x:v>
      </x:c>
      <x:c r="H100" s="17" t="str">
        <x:v>행동 문장의 의미와 어순 구성에 집중 지원이 필요합니다.</x:v>
      </x:c>
      <x:c r="I100" s="17" t="str">
        <x:v>교사가 문장을 읽어주고 단어를 한 칸씩 대응시켜 주세요.</x:v>
      </x:c>
    </x:row>
    <x:row r="101" ht="34" customHeight="1">
      <x:c r="A101" s="27" t="str">
        <x:v>Q4</x:v>
      </x:c>
      <x:c r="B101" s="17" t="str">
        <x:v>시도·행동 (Attempt)</x:v>
      </x:c>
      <x:c r="C101" s="17" t="str">
        <x:v>OG0005 (8단어)</x:v>
      </x:c>
      <x:c r="D101" s="17" t="str">
        <x:v>scene_word_unscramble</x:v>
      </x:c>
      <x:c r="E101" s="53" t="n">
        <x:v>32</x:v>
      </x:c>
      <x:c r="F101" s="17" t="str">
        <x:f>IF(E101&gt;='전체 루브릭'!$C$5,"안정",IF(E101&gt;='전체 루브릭'!$C$6,"발달 중",IF(E101&gt;='전체 루브릭'!$C$7,"흔들림","집중 보완")))</x:f>
        <x:v>집중 보완</x:v>
      </x:c>
      <x:c r="G101" s="17" t="str">
        <x:v>그림을 보고 주인공의 행동을 두세 단어로 먼저 말해 봅시다.</x:v>
      </x:c>
      <x:c r="H101" s="17" t="str">
        <x:v>행동 문장의 의미와 어순 구성에 집중 지원이 필요합니다.</x:v>
      </x:c>
      <x:c r="I101" s="17" t="str">
        <x:v>교사가 문장을 읽어주고 단어를 한 칸씩 대응시켜 주세요.</x:v>
      </x:c>
    </x:row>
    <x:row r="102" ht="34" customHeight="1">
      <x:c r="A102" s="27" t="str">
        <x:v>Q4</x:v>
      </x:c>
      <x:c r="B102" s="17" t="str">
        <x:v>시도·행동 (Attempt)</x:v>
      </x:c>
      <x:c r="C102" s="17" t="str">
        <x:v>OG0005 (8단어)</x:v>
      </x:c>
      <x:c r="D102" s="17" t="str">
        <x:v>scene_word_unscramble</x:v>
      </x:c>
      <x:c r="E102" s="53" t="n">
        <x:v>36</x:v>
      </x:c>
      <x:c r="F102" s="17" t="str">
        <x:f>IF(E102&gt;='전체 루브릭'!$C$5,"안정",IF(E102&gt;='전체 루브릭'!$C$6,"발달 중",IF(E102&gt;='전체 루브릭'!$C$7,"흔들림","집중 보완")))</x:f>
        <x:v>집중 보완</x:v>
      </x:c>
      <x:c r="G102" s="17" t="str">
        <x:v>그림을 보고 주인공의 행동을 두세 단어로 먼저 말해 봅시다.</x:v>
      </x:c>
      <x:c r="H102" s="17" t="str">
        <x:v>행동 문장의 의미와 어순 구성에 집중 지원이 필요합니다.</x:v>
      </x:c>
      <x:c r="I102" s="17" t="str">
        <x:v>교사가 문장을 읽어주고 단어를 한 칸씩 대응시켜 주세요.</x:v>
      </x:c>
    </x:row>
    <x:row r="103" ht="34" customHeight="1">
      <x:c r="A103" s="27" t="str">
        <x:v>Q4</x:v>
      </x:c>
      <x:c r="B103" s="17" t="str">
        <x:v>시도·행동 (Attempt)</x:v>
      </x:c>
      <x:c r="C103" s="17" t="str">
        <x:v>OG0005 (8단어)</x:v>
      </x:c>
      <x:c r="D103" s="17" t="str">
        <x:v>scene_word_unscramble</x:v>
      </x:c>
      <x:c r="E103" s="53" t="n">
        <x:v>40</x:v>
      </x:c>
      <x:c r="F103" s="17" t="str">
        <x:f>IF(E103&gt;='전체 루브릭'!$C$5,"안정",IF(E103&gt;='전체 루브릭'!$C$6,"발달 중",IF(E103&gt;='전체 루브릭'!$C$7,"흔들림","집중 보완")))</x:f>
        <x:v>집중 보완</x:v>
      </x:c>
      <x:c r="G103" s="17" t="str">
        <x:v>그림을 보고 주인공의 행동을 두세 단어로 먼저 말해 봅시다.</x:v>
      </x:c>
      <x:c r="H103" s="17" t="str">
        <x:v>행동 문장의 의미와 어순 구성에 집중 지원이 필요합니다.</x:v>
      </x:c>
      <x:c r="I103" s="17" t="str">
        <x:v>교사가 문장을 읽어주고 단어를 한 칸씩 대응시켜 주세요.</x:v>
      </x:c>
    </x:row>
    <x:row r="104" ht="34" customHeight="1">
      <x:c r="A104" s="27" t="str">
        <x:v>Q4</x:v>
      </x:c>
      <x:c r="B104" s="17" t="str">
        <x:v>시도·행동 (Attempt)</x:v>
      </x:c>
      <x:c r="C104" s="17" t="str">
        <x:v>OG0005 (8단어)</x:v>
      </x:c>
      <x:c r="D104" s="17" t="str">
        <x:v>scene_word_unscramble</x:v>
      </x:c>
      <x:c r="E104" s="53" t="n">
        <x:v>44</x:v>
      </x:c>
      <x:c r="F104" s="17" t="str">
        <x:f>IF(E104&gt;='전체 루브릭'!$C$5,"안정",IF(E104&gt;='전체 루브릭'!$C$6,"발달 중",IF(E104&gt;='전체 루브릭'!$C$7,"흔들림","집중 보완")))</x:f>
        <x:v>집중 보완</x:v>
      </x:c>
      <x:c r="G104" s="17" t="str">
        <x:v>그림을 보고 주인공의 행동을 두세 단어로 먼저 말해 봅시다.</x:v>
      </x:c>
      <x:c r="H104" s="17" t="str">
        <x:v>행동 문장의 의미와 어순 구성에 집중 지원이 필요합니다.</x:v>
      </x:c>
      <x:c r="I104" s="17" t="str">
        <x:v>교사가 문장을 읽어주고 단어를 한 칸씩 대응시켜 주세요.</x:v>
      </x:c>
    </x:row>
    <x:row r="105" ht="34" customHeight="1">
      <x:c r="A105" s="27" t="str">
        <x:v>Q4</x:v>
      </x:c>
      <x:c r="B105" s="17" t="str">
        <x:v>시도·행동 (Attempt)</x:v>
      </x:c>
      <x:c r="C105" s="17" t="str">
        <x:v>OG0005 (8단어)</x:v>
      </x:c>
      <x:c r="D105" s="17" t="str">
        <x:v>scene_word_unscramble</x:v>
      </x:c>
      <x:c r="E105" s="53" t="n">
        <x:v>48</x:v>
      </x:c>
      <x:c r="F105" s="17" t="str">
        <x:f>IF(E105&gt;='전체 루브릭'!$C$5,"안정",IF(E105&gt;='전체 루브릭'!$C$6,"발달 중",IF(E105&gt;='전체 루브릭'!$C$7,"흔들림","집중 보완")))</x:f>
        <x:v>집중 보완</x:v>
      </x:c>
      <x:c r="G105" s="17" t="str">
        <x:v>그림을 보고 주인공의 행동을 두세 단어로 먼저 말해 봅시다.</x:v>
      </x:c>
      <x:c r="H105" s="17" t="str">
        <x:v>행동 문장의 의미와 어순 구성에 집중 지원이 필요합니다.</x:v>
      </x:c>
      <x:c r="I105" s="17" t="str">
        <x:v>교사가 문장을 읽어주고 단어를 한 칸씩 대응시켜 주세요.</x:v>
      </x:c>
    </x:row>
    <x:row r="106" ht="34" customHeight="1">
      <x:c r="A106" s="27" t="str">
        <x:v>Q4</x:v>
      </x:c>
      <x:c r="B106" s="17" t="str">
        <x:v>시도·행동 (Attempt)</x:v>
      </x:c>
      <x:c r="C106" s="17" t="str">
        <x:v>OG0005 (8단어)</x:v>
      </x:c>
      <x:c r="D106" s="17" t="str">
        <x:v>scene_word_unscramble</x:v>
      </x:c>
      <x:c r="E106" s="53" t="n">
        <x:v>52</x:v>
      </x:c>
      <x:c r="F106" s="17" t="str">
        <x:f>IF(E106&gt;='전체 루브릭'!$C$5,"안정",IF(E106&gt;='전체 루브릭'!$C$6,"발달 중",IF(E106&gt;='전체 루브릭'!$C$7,"흔들림","집중 보완")))</x:f>
        <x:v>흔들림</x:v>
      </x:c>
      <x:c r="G106" s="17" t="str">
        <x:v>먼저 ‘누가’와 ‘무엇을 했는지’를 찾아 문장 앞에 놓아 보세요.</x:v>
      </x:c>
      <x:c r="H106" s="17" t="str">
        <x:v>행동 의미의 일부는 파악했으나 문장 구조 연결이 충분하지 않습니다.</x:v>
      </x:c>
      <x:c r="I106" s="17" t="str">
        <x:v>그림 속 행동을 짧게 말한 뒤 단어 카드로 옮겨 보세요.</x:v>
      </x:c>
    </x:row>
    <x:row r="107" ht="34" customHeight="1">
      <x:c r="A107" s="27" t="str">
        <x:v>Q4</x:v>
      </x:c>
      <x:c r="B107" s="17" t="str">
        <x:v>시도·행동 (Attempt)</x:v>
      </x:c>
      <x:c r="C107" s="17" t="str">
        <x:v>OG0005 (8단어)</x:v>
      </x:c>
      <x:c r="D107" s="17" t="str">
        <x:v>scene_word_unscramble</x:v>
      </x:c>
      <x:c r="E107" s="53" t="n">
        <x:v>56</x:v>
      </x:c>
      <x:c r="F107" s="17" t="str">
        <x:f>IF(E107&gt;='전체 루브릭'!$C$5,"안정",IF(E107&gt;='전체 루브릭'!$C$6,"발달 중",IF(E107&gt;='전체 루브릭'!$C$7,"흔들림","집중 보완")))</x:f>
        <x:v>흔들림</x:v>
      </x:c>
      <x:c r="G107" s="17" t="str">
        <x:v>먼저 ‘누가’와 ‘무엇을 했는지’를 찾아 문장 앞에 놓아 보세요.</x:v>
      </x:c>
      <x:c r="H107" s="17" t="str">
        <x:v>행동 의미의 일부는 파악했으나 문장 구조 연결이 충분하지 않습니다.</x:v>
      </x:c>
      <x:c r="I107" s="17" t="str">
        <x:v>그림 속 행동을 짧게 말한 뒤 단어 카드로 옮겨 보세요.</x:v>
      </x:c>
    </x:row>
    <x:row r="108" ht="34" customHeight="1">
      <x:c r="A108" s="27" t="str">
        <x:v>Q4</x:v>
      </x:c>
      <x:c r="B108" s="17" t="str">
        <x:v>시도·행동 (Attempt)</x:v>
      </x:c>
      <x:c r="C108" s="17" t="str">
        <x:v>OG0005 (8단어)</x:v>
      </x:c>
      <x:c r="D108" s="17" t="str">
        <x:v>scene_word_unscramble</x:v>
      </x:c>
      <x:c r="E108" s="53" t="n">
        <x:v>60</x:v>
      </x:c>
      <x:c r="F108" s="17" t="str">
        <x:f>IF(E108&gt;='전체 루브릭'!$C$5,"안정",IF(E108&gt;='전체 루브릭'!$C$6,"발달 중",IF(E108&gt;='전체 루브릭'!$C$7,"흔들림","집중 보완")))</x:f>
        <x:v>흔들림</x:v>
      </x:c>
      <x:c r="G108" s="17" t="str">
        <x:v>먼저 ‘누가’와 ‘무엇을 했는지’를 찾아 문장 앞에 놓아 보세요.</x:v>
      </x:c>
      <x:c r="H108" s="17" t="str">
        <x:v>행동 의미의 일부는 파악했으나 문장 구조 연결이 충분하지 않습니다.</x:v>
      </x:c>
      <x:c r="I108" s="17" t="str">
        <x:v>그림 속 행동을 짧게 말한 뒤 단어 카드로 옮겨 보세요.</x:v>
      </x:c>
    </x:row>
    <x:row r="109" ht="34" customHeight="1">
      <x:c r="A109" s="27" t="str">
        <x:v>Q4</x:v>
      </x:c>
      <x:c r="B109" s="17" t="str">
        <x:v>시도·행동 (Attempt)</x:v>
      </x:c>
      <x:c r="C109" s="17" t="str">
        <x:v>OG0005 (8단어)</x:v>
      </x:c>
      <x:c r="D109" s="17" t="str">
        <x:v>scene_word_unscramble</x:v>
      </x:c>
      <x:c r="E109" s="53" t="n">
        <x:v>64</x:v>
      </x:c>
      <x:c r="F109" s="17" t="str">
        <x:f>IF(E109&gt;='전체 루브릭'!$C$5,"안정",IF(E109&gt;='전체 루브릭'!$C$6,"발달 중",IF(E109&gt;='전체 루브릭'!$C$7,"흔들림","집중 보완")))</x:f>
        <x:v>흔들림</x:v>
      </x:c>
      <x:c r="G109" s="17" t="str">
        <x:v>먼저 ‘누가’와 ‘무엇을 했는지’를 찾아 문장 앞에 놓아 보세요.</x:v>
      </x:c>
      <x:c r="H109" s="17" t="str">
        <x:v>행동 의미의 일부는 파악했으나 문장 구조 연결이 충분하지 않습니다.</x:v>
      </x:c>
      <x:c r="I109" s="17" t="str">
        <x:v>그림 속 행동을 짧게 말한 뒤 단어 카드로 옮겨 보세요.</x:v>
      </x:c>
    </x:row>
    <x:row r="110" ht="34" customHeight="1">
      <x:c r="A110" s="27" t="str">
        <x:v>Q4</x:v>
      </x:c>
      <x:c r="B110" s="17" t="str">
        <x:v>시도·행동 (Attempt)</x:v>
      </x:c>
      <x:c r="C110" s="17" t="str">
        <x:v>OG0005 (8단어)</x:v>
      </x:c>
      <x:c r="D110" s="17" t="str">
        <x:v>scene_word_unscramble</x:v>
      </x:c>
      <x:c r="E110" s="53" t="n">
        <x:v>68</x:v>
      </x:c>
      <x:c r="F110" s="17" t="str">
        <x:f>IF(E110&gt;='전체 루브릭'!$C$5,"안정",IF(E110&gt;='전체 루브릭'!$C$6,"발달 중",IF(E110&gt;='전체 루브릭'!$C$7,"흔들림","집중 보완")))</x:f>
        <x:v>흔들림</x:v>
      </x:c>
      <x:c r="G110" s="17" t="str">
        <x:v>먼저 ‘누가’와 ‘무엇을 했는지’를 찾아 문장 앞에 놓아 보세요.</x:v>
      </x:c>
      <x:c r="H110" s="17" t="str">
        <x:v>행동 의미의 일부는 파악했으나 문장 구조 연결이 충분하지 않습니다.</x:v>
      </x:c>
      <x:c r="I110" s="17" t="str">
        <x:v>그림 속 행동을 짧게 말한 뒤 단어 카드로 옮겨 보세요.</x:v>
      </x:c>
    </x:row>
    <x:row r="111" ht="34" customHeight="1">
      <x:c r="A111" s="27" t="str">
        <x:v>Q4</x:v>
      </x:c>
      <x:c r="B111" s="17" t="str">
        <x:v>시도·행동 (Attempt)</x:v>
      </x:c>
      <x:c r="C111" s="17" t="str">
        <x:v>OG0005 (8단어)</x:v>
      </x:c>
      <x:c r="D111" s="17" t="str">
        <x:v>scene_word_unscramble</x:v>
      </x:c>
      <x:c r="E111" s="53" t="n">
        <x:v>72</x:v>
      </x:c>
      <x:c r="F111" s="17" t="str">
        <x:f>IF(E111&gt;='전체 루브릭'!$C$5,"안정",IF(E111&gt;='전체 루브릭'!$C$6,"발달 중",IF(E111&gt;='전체 루브릭'!$C$7,"흔들림","집중 보완")))</x:f>
        <x:v>발달 중</x:v>
      </x:c>
      <x:c r="G111" s="17" t="str">
        <x:v>행동 문장의 큰 구조는 맞아요. 어순이 바뀐 단어를 다시 살펴보세요.</x:v>
      </x:c>
      <x:c r="H111" s="17" t="str">
        <x:v>핵심 행동은 이해했으나 일부 기능어 또는 세부 어순이 흔들렸습니다.</x:v>
      </x:c>
      <x:c r="I111" s="17" t="str">
        <x:v>주어와 동사를 먼저 고정한 뒤 나머지 단어를 배치하세요.</x:v>
      </x:c>
    </x:row>
    <x:row r="112" ht="34" customHeight="1">
      <x:c r="A112" s="27" t="str">
        <x:v>Q4</x:v>
      </x:c>
      <x:c r="B112" s="17" t="str">
        <x:v>시도·행동 (Attempt)</x:v>
      </x:c>
      <x:c r="C112" s="17" t="str">
        <x:v>OG0005 (8단어)</x:v>
      </x:c>
      <x:c r="D112" s="17" t="str">
        <x:v>scene_word_unscramble</x:v>
      </x:c>
      <x:c r="E112" s="53" t="n">
        <x:v>76</x:v>
      </x:c>
      <x:c r="F112" s="17" t="str">
        <x:f>IF(E112&gt;='전체 루브릭'!$C$5,"안정",IF(E112&gt;='전체 루브릭'!$C$6,"발달 중",IF(E112&gt;='전체 루브릭'!$C$7,"흔들림","집중 보완")))</x:f>
        <x:v>발달 중</x:v>
      </x:c>
      <x:c r="G112" s="17" t="str">
        <x:v>행동 문장의 큰 구조는 맞아요. 어순이 바뀐 단어를 다시 살펴보세요.</x:v>
      </x:c>
      <x:c r="H112" s="17" t="str">
        <x:v>핵심 행동은 이해했으나 일부 기능어 또는 세부 어순이 흔들렸습니다.</x:v>
      </x:c>
      <x:c r="I112" s="17" t="str">
        <x:v>주어와 동사를 먼저 고정한 뒤 나머지 단어를 배치하세요.</x:v>
      </x:c>
    </x:row>
    <x:row r="113" ht="34" customHeight="1">
      <x:c r="A113" s="27" t="str">
        <x:v>Q4</x:v>
      </x:c>
      <x:c r="B113" s="17" t="str">
        <x:v>시도·행동 (Attempt)</x:v>
      </x:c>
      <x:c r="C113" s="17" t="str">
        <x:v>OG0005 (8단어)</x:v>
      </x:c>
      <x:c r="D113" s="17" t="str">
        <x:v>scene_word_unscramble</x:v>
      </x:c>
      <x:c r="E113" s="53" t="n">
        <x:v>84</x:v>
      </x:c>
      <x:c r="F113" s="17" t="str">
        <x:f>IF(E113&gt;='전체 루브릭'!$C$5,"안정",IF(E113&gt;='전체 루브릭'!$C$6,"발달 중",IF(E113&gt;='전체 루브릭'!$C$7,"흔들림","집중 보완")))</x:f>
        <x:v>발달 중</x:v>
      </x:c>
      <x:c r="G113" s="17" t="str">
        <x:v>행동 문장의 큰 구조는 맞아요. 어순이 바뀐 단어를 다시 살펴보세요.</x:v>
      </x:c>
      <x:c r="H113" s="17" t="str">
        <x:v>핵심 행동은 이해했으나 일부 기능어 또는 세부 어순이 흔들렸습니다.</x:v>
      </x:c>
      <x:c r="I113" s="17" t="str">
        <x:v>주어와 동사를 먼저 고정한 뒤 나머지 단어를 배치하세요.</x:v>
      </x:c>
    </x:row>
    <x:row r="114" ht="34" customHeight="1">
      <x:c r="A114" s="27" t="str">
        <x:v>Q4</x:v>
      </x:c>
      <x:c r="B114" s="17" t="str">
        <x:v>시도·행동 (Attempt)</x:v>
      </x:c>
      <x:c r="C114" s="17" t="str">
        <x:v>OG0005 (8단어)</x:v>
      </x:c>
      <x:c r="D114" s="17" t="str">
        <x:v>scene_word_unscramble</x:v>
      </x:c>
      <x:c r="E114" s="53" t="n">
        <x:v>100</x:v>
      </x:c>
      <x:c r="F114" s="17" t="str">
        <x:f>IF(E114&gt;='전체 루브릭'!$C$5,"안정",IF(E114&gt;='전체 루브릭'!$C$6,"발달 중",IF(E114&gt;='전체 루브릭'!$C$7,"흔들림","집중 보완")))</x:f>
        <x:v>안정</x:v>
      </x:c>
      <x:c r="G114" s="17" t="str">
        <x:v>누가 무엇을 했는지 문장을 정확한 순서로 만들었어요.</x:v>
      </x:c>
      <x:c r="H114" s="17" t="str">
        <x:v>행위자·핵심 행동·문장 구조를 안정적으로 구성했습니다.</x:v>
      </x:c>
      <x:c r="I114" s="17" t="str">
        <x:v>같은 장면을 다른 표현의 문장으로 바꾸어 말해 보세요.</x:v>
      </x:c>
    </x:row>
    <x:row r="115" ht="34" customHeight="1">
      <x:c r="A115" s="27" t="str">
        <x:v>Q4</x:v>
      </x:c>
      <x:c r="B115" s="17" t="str">
        <x:v>시도·행동 (Attempt)</x:v>
      </x:c>
      <x:c r="C115" s="17" t="str">
        <x:v>OG0021 (4단어)</x:v>
      </x:c>
      <x:c r="D115" s="17" t="str">
        <x:v>scene_word_unscramble</x:v>
      </x:c>
      <x:c r="E115" s="53" t="n">
        <x:v>0</x:v>
      </x:c>
      <x:c r="F115" s="17" t="str">
        <x:f>IF(E115&gt;='전체 루브릭'!$C$5,"안정",IF(E115&gt;='전체 루브릭'!$C$6,"발달 중",IF(E115&gt;='전체 루브릭'!$C$7,"흔들림","집중 보완")))</x:f>
        <x:v>집중 보완</x:v>
      </x:c>
      <x:c r="G115" s="17" t="str">
        <x:v>그림을 보고 주인공의 행동을 두세 단어로 먼저 말해 봅시다.</x:v>
      </x:c>
      <x:c r="H115" s="17" t="str">
        <x:v>행동 문장의 의미와 어순 구성에 집중 지원이 필요합니다.</x:v>
      </x:c>
      <x:c r="I115" s="17" t="str">
        <x:v>교사가 문장을 읽어주고 단어를 한 칸씩 대응시켜 주세요.</x:v>
      </x:c>
    </x:row>
    <x:row r="116" ht="34" customHeight="1">
      <x:c r="A116" s="27" t="str">
        <x:v>Q4</x:v>
      </x:c>
      <x:c r="B116" s="17" t="str">
        <x:v>시도·행동 (Attempt)</x:v>
      </x:c>
      <x:c r="C116" s="17" t="str">
        <x:v>OG0021 (4단어)</x:v>
      </x:c>
      <x:c r="D116" s="17" t="str">
        <x:v>scene_word_unscramble</x:v>
      </x:c>
      <x:c r="E116" s="53" t="n">
        <x:v>12</x:v>
      </x:c>
      <x:c r="F116" s="17" t="str">
        <x:f>IF(E116&gt;='전체 루브릭'!$C$5,"안정",IF(E116&gt;='전체 루브릭'!$C$6,"발달 중",IF(E116&gt;='전체 루브릭'!$C$7,"흔들림","집중 보완")))</x:f>
        <x:v>집중 보완</x:v>
      </x:c>
      <x:c r="G116" s="17" t="str">
        <x:v>그림을 보고 주인공의 행동을 두세 단어로 먼저 말해 봅시다.</x:v>
      </x:c>
      <x:c r="H116" s="17" t="str">
        <x:v>행동 문장의 의미와 어순 구성에 집중 지원이 필요합니다.</x:v>
      </x:c>
      <x:c r="I116" s="17" t="str">
        <x:v>교사가 문장을 읽어주고 단어를 한 칸씩 대응시켜 주세요.</x:v>
      </x:c>
    </x:row>
    <x:row r="117" ht="34" customHeight="1">
      <x:c r="A117" s="27" t="str">
        <x:v>Q4</x:v>
      </x:c>
      <x:c r="B117" s="17" t="str">
        <x:v>시도·행동 (Attempt)</x:v>
      </x:c>
      <x:c r="C117" s="17" t="str">
        <x:v>OG0021 (4단어)</x:v>
      </x:c>
      <x:c r="D117" s="17" t="str">
        <x:v>scene_word_unscramble</x:v>
      </x:c>
      <x:c r="E117" s="53" t="n">
        <x:v>29</x:v>
      </x:c>
      <x:c r="F117" s="17" t="str">
        <x:f>IF(E117&gt;='전체 루브릭'!$C$5,"안정",IF(E117&gt;='전체 루브릭'!$C$6,"발달 중",IF(E117&gt;='전체 루브릭'!$C$7,"흔들림","집중 보완")))</x:f>
        <x:v>집중 보완</x:v>
      </x:c>
      <x:c r="G117" s="17" t="str">
        <x:v>그림을 보고 주인공의 행동을 두세 단어로 먼저 말해 봅시다.</x:v>
      </x:c>
      <x:c r="H117" s="17" t="str">
        <x:v>행동 문장의 의미와 어순 구성에 집중 지원이 필요합니다.</x:v>
      </x:c>
      <x:c r="I117" s="17" t="str">
        <x:v>교사가 문장을 읽어주고 단어를 한 칸씩 대응시켜 주세요.</x:v>
      </x:c>
    </x:row>
    <x:row r="118" ht="34" customHeight="1">
      <x:c r="A118" s="27" t="str">
        <x:v>Q4</x:v>
      </x:c>
      <x:c r="B118" s="17" t="str">
        <x:v>시도·행동 (Attempt)</x:v>
      </x:c>
      <x:c r="C118" s="17" t="str">
        <x:v>OG0021 (4단어)</x:v>
      </x:c>
      <x:c r="D118" s="17" t="str">
        <x:v>scene_word_unscramble</x:v>
      </x:c>
      <x:c r="E118" s="53" t="n">
        <x:v>41</x:v>
      </x:c>
      <x:c r="F118" s="17" t="str">
        <x:f>IF(E118&gt;='전체 루브릭'!$C$5,"안정",IF(E118&gt;='전체 루브릭'!$C$6,"발달 중",IF(E118&gt;='전체 루브릭'!$C$7,"흔들림","집중 보완")))</x:f>
        <x:v>집중 보완</x:v>
      </x:c>
      <x:c r="G118" s="17" t="str">
        <x:v>그림을 보고 주인공의 행동을 두세 단어로 먼저 말해 봅시다.</x:v>
      </x:c>
      <x:c r="H118" s="17" t="str">
        <x:v>행동 문장의 의미와 어순 구성에 집중 지원이 필요합니다.</x:v>
      </x:c>
      <x:c r="I118" s="17" t="str">
        <x:v>교사가 문장을 읽어주고 단어를 한 칸씩 대응시켜 주세요.</x:v>
      </x:c>
    </x:row>
    <x:row r="119" ht="34" customHeight="1">
      <x:c r="A119" s="27" t="str">
        <x:v>Q4</x:v>
      </x:c>
      <x:c r="B119" s="17" t="str">
        <x:v>시도·행동 (Attempt)</x:v>
      </x:c>
      <x:c r="C119" s="17" t="str">
        <x:v>OG0021 (4단어)</x:v>
      </x:c>
      <x:c r="D119" s="17" t="str">
        <x:v>scene_word_unscramble</x:v>
      </x:c>
      <x:c r="E119" s="53" t="n">
        <x:v>59</x:v>
      </x:c>
      <x:c r="F119" s="17" t="str">
        <x:f>IF(E119&gt;='전체 루브릭'!$C$5,"안정",IF(E119&gt;='전체 루브릭'!$C$6,"발달 중",IF(E119&gt;='전체 루브릭'!$C$7,"흔들림","집중 보완")))</x:f>
        <x:v>흔들림</x:v>
      </x:c>
      <x:c r="G119" s="17" t="str">
        <x:v>먼저 ‘누가’와 ‘무엇을 했는지’를 찾아 문장 앞에 놓아 보세요.</x:v>
      </x:c>
      <x:c r="H119" s="17" t="str">
        <x:v>행동 의미의 일부는 파악했으나 문장 구조 연결이 충분하지 않습니다.</x:v>
      </x:c>
      <x:c r="I119" s="17" t="str">
        <x:v>그림 속 행동을 짧게 말한 뒤 단어 카드로 옮겨 보세요.</x:v>
      </x:c>
    </x:row>
    <x:row r="120" ht="34" customHeight="1">
      <x:c r="A120" s="27" t="str">
        <x:v>Q4</x:v>
      </x:c>
      <x:c r="B120" s="17" t="str">
        <x:v>시도·행동 (Attempt)</x:v>
      </x:c>
      <x:c r="C120" s="17" t="str">
        <x:v>OG0021 (4단어)</x:v>
      </x:c>
      <x:c r="D120" s="17" t="str">
        <x:v>scene_word_unscramble</x:v>
      </x:c>
      <x:c r="E120" s="53" t="n">
        <x:v>100</x:v>
      </x:c>
      <x:c r="F120" s="17" t="str">
        <x:f>IF(E120&gt;='전체 루브릭'!$C$5,"안정",IF(E120&gt;='전체 루브릭'!$C$6,"발달 중",IF(E120&gt;='전체 루브릭'!$C$7,"흔들림","집중 보완")))</x:f>
        <x:v>안정</x:v>
      </x:c>
      <x:c r="G120" s="17" t="str">
        <x:v>누가 무엇을 했는지 문장을 정확한 순서로 만들었어요.</x:v>
      </x:c>
      <x:c r="H120" s="17" t="str">
        <x:v>행위자·핵심 행동·문장 구조를 안정적으로 구성했습니다.</x:v>
      </x:c>
      <x:c r="I120" s="17" t="str">
        <x:v>같은 장면을 다른 표현의 문장으로 바꾸어 말해 보세요.</x:v>
      </x:c>
    </x:row>
    <x:row r="121" ht="34" customHeight="1">
      <x:c r="A121" s="27" t="str">
        <x:v>Q4</x:v>
      </x:c>
      <x:c r="B121" s="17" t="str">
        <x:v>시도·행동 (Attempt)</x:v>
      </x:c>
      <x:c r="C121" s="17" t="str">
        <x:v>OG0036 (9단어)</x:v>
      </x:c>
      <x:c r="D121" s="17" t="str">
        <x:v>scene_word_unscramble</x:v>
      </x:c>
      <x:c r="E121" s="53" t="n">
        <x:v>0</x:v>
      </x:c>
      <x:c r="F121" s="17" t="str">
        <x:f>IF(E121&gt;='전체 루브릭'!$C$5,"안정",IF(E121&gt;='전체 루브릭'!$C$6,"발달 중",IF(E121&gt;='전체 루브릭'!$C$7,"흔들림","집중 보완")))</x:f>
        <x:v>집중 보완</x:v>
      </x:c>
      <x:c r="G121" s="17" t="str">
        <x:v>그림을 보고 주인공의 행동을 두세 단어로 먼저 말해 봅시다.</x:v>
      </x:c>
      <x:c r="H121" s="17" t="str">
        <x:v>행동 문장의 의미와 어순 구성에 집중 지원이 필요합니다.</x:v>
      </x:c>
      <x:c r="I121" s="17" t="str">
        <x:v>교사가 문장을 읽어주고 단어를 한 칸씩 대응시켜 주세요.</x:v>
      </x:c>
    </x:row>
    <x:row r="122" ht="34" customHeight="1">
      <x:c r="A122" s="27" t="str">
        <x:v>Q4</x:v>
      </x:c>
      <x:c r="B122" s="17" t="str">
        <x:v>시도·행동 (Attempt)</x:v>
      </x:c>
      <x:c r="C122" s="17" t="str">
        <x:v>OG0036 (9단어)</x:v>
      </x:c>
      <x:c r="D122" s="17" t="str">
        <x:v>scene_word_unscramble</x:v>
      </x:c>
      <x:c r="E122" s="53" t="n">
        <x:v>7</x:v>
      </x:c>
      <x:c r="F122" s="17" t="str">
        <x:f>IF(E122&gt;='전체 루브릭'!$C$5,"안정",IF(E122&gt;='전체 루브릭'!$C$6,"발달 중",IF(E122&gt;='전체 루브릭'!$C$7,"흔들림","집중 보완")))</x:f>
        <x:v>집중 보완</x:v>
      </x:c>
      <x:c r="G122" s="17" t="str">
        <x:v>그림을 보고 주인공의 행동을 두세 단어로 먼저 말해 봅시다.</x:v>
      </x:c>
      <x:c r="H122" s="17" t="str">
        <x:v>행동 문장의 의미와 어순 구성에 집중 지원이 필요합니다.</x:v>
      </x:c>
      <x:c r="I122" s="17" t="str">
        <x:v>교사가 문장을 읽어주고 단어를 한 칸씩 대응시켜 주세요.</x:v>
      </x:c>
    </x:row>
    <x:row r="123" ht="34" customHeight="1">
      <x:c r="A123" s="27" t="str">
        <x:v>Q4</x:v>
      </x:c>
      <x:c r="B123" s="17" t="str">
        <x:v>시도·행동 (Attempt)</x:v>
      </x:c>
      <x:c r="C123" s="17" t="str">
        <x:v>OG0036 (9단어)</x:v>
      </x:c>
      <x:c r="D123" s="17" t="str">
        <x:v>scene_word_unscramble</x:v>
      </x:c>
      <x:c r="E123" s="53" t="n">
        <x:v>15</x:v>
      </x:c>
      <x:c r="F123" s="17" t="str">
        <x:f>IF(E123&gt;='전체 루브릭'!$C$5,"안정",IF(E123&gt;='전체 루브릭'!$C$6,"발달 중",IF(E123&gt;='전체 루브릭'!$C$7,"흔들림","집중 보완")))</x:f>
        <x:v>집중 보완</x:v>
      </x:c>
      <x:c r="G123" s="17" t="str">
        <x:v>그림을 보고 주인공의 행동을 두세 단어로 먼저 말해 봅시다.</x:v>
      </x:c>
      <x:c r="H123" s="17" t="str">
        <x:v>행동 문장의 의미와 어순 구성에 집중 지원이 필요합니다.</x:v>
      </x:c>
      <x:c r="I123" s="17" t="str">
        <x:v>교사가 문장을 읽어주고 단어를 한 칸씩 대응시켜 주세요.</x:v>
      </x:c>
    </x:row>
    <x:row r="124" ht="34" customHeight="1">
      <x:c r="A124" s="27" t="str">
        <x:v>Q4</x:v>
      </x:c>
      <x:c r="B124" s="17" t="str">
        <x:v>시도·행동 (Attempt)</x:v>
      </x:c>
      <x:c r="C124" s="17" t="str">
        <x:v>OG0036 (9단어)</x:v>
      </x:c>
      <x:c r="D124" s="17" t="str">
        <x:v>scene_word_unscramble</x:v>
      </x:c>
      <x:c r="E124" s="53" t="n">
        <x:v>19</x:v>
      </x:c>
      <x:c r="F124" s="17" t="str">
        <x:f>IF(E124&gt;='전체 루브릭'!$C$5,"안정",IF(E124&gt;='전체 루브릭'!$C$6,"발달 중",IF(E124&gt;='전체 루브릭'!$C$7,"흔들림","집중 보완")))</x:f>
        <x:v>집중 보완</x:v>
      </x:c>
      <x:c r="G124" s="17" t="str">
        <x:v>그림을 보고 주인공의 행동을 두세 단어로 먼저 말해 봅시다.</x:v>
      </x:c>
      <x:c r="H124" s="17" t="str">
        <x:v>행동 문장의 의미와 어순 구성에 집중 지원이 필요합니다.</x:v>
      </x:c>
      <x:c r="I124" s="17" t="str">
        <x:v>교사가 문장을 읽어주고 단어를 한 칸씩 대응시켜 주세요.</x:v>
      </x:c>
    </x:row>
    <x:row r="125" ht="34" customHeight="1">
      <x:c r="A125" s="27" t="str">
        <x:v>Q4</x:v>
      </x:c>
      <x:c r="B125" s="17" t="str">
        <x:v>시도·행동 (Attempt)</x:v>
      </x:c>
      <x:c r="C125" s="17" t="str">
        <x:v>OG0036 (9단어)</x:v>
      </x:c>
      <x:c r="D125" s="17" t="str">
        <x:v>scene_word_unscramble</x:v>
      </x:c>
      <x:c r="E125" s="53" t="n">
        <x:v>22</x:v>
      </x:c>
      <x:c r="F125" s="17" t="str">
        <x:f>IF(E125&gt;='전체 루브릭'!$C$5,"안정",IF(E125&gt;='전체 루브릭'!$C$6,"발달 중",IF(E125&gt;='전체 루브릭'!$C$7,"흔들림","집중 보완")))</x:f>
        <x:v>집중 보완</x:v>
      </x:c>
      <x:c r="G125" s="17" t="str">
        <x:v>그림을 보고 주인공의 행동을 두세 단어로 먼저 말해 봅시다.</x:v>
      </x:c>
      <x:c r="H125" s="17" t="str">
        <x:v>행동 문장의 의미와 어순 구성에 집중 지원이 필요합니다.</x:v>
      </x:c>
      <x:c r="I125" s="17" t="str">
        <x:v>교사가 문장을 읽어주고 단어를 한 칸씩 대응시켜 주세요.</x:v>
      </x:c>
    </x:row>
    <x:row r="126" ht="34" customHeight="1">
      <x:c r="A126" s="27" t="str">
        <x:v>Q4</x:v>
      </x:c>
      <x:c r="B126" s="17" t="str">
        <x:v>시도·행동 (Attempt)</x:v>
      </x:c>
      <x:c r="C126" s="17" t="str">
        <x:v>OG0036 (9단어)</x:v>
      </x:c>
      <x:c r="D126" s="17" t="str">
        <x:v>scene_word_unscramble</x:v>
      </x:c>
      <x:c r="E126" s="53" t="n">
        <x:v>26</x:v>
      </x:c>
      <x:c r="F126" s="17" t="str">
        <x:f>IF(E126&gt;='전체 루브릭'!$C$5,"안정",IF(E126&gt;='전체 루브릭'!$C$6,"발달 중",IF(E126&gt;='전체 루브릭'!$C$7,"흔들림","집중 보완")))</x:f>
        <x:v>집중 보완</x:v>
      </x:c>
      <x:c r="G126" s="17" t="str">
        <x:v>그림을 보고 주인공의 행동을 두세 단어로 먼저 말해 봅시다.</x:v>
      </x:c>
      <x:c r="H126" s="17" t="str">
        <x:v>행동 문장의 의미와 어순 구성에 집중 지원이 필요합니다.</x:v>
      </x:c>
      <x:c r="I126" s="17" t="str">
        <x:v>교사가 문장을 읽어주고 단어를 한 칸씩 대응시켜 주세요.</x:v>
      </x:c>
    </x:row>
    <x:row r="127" ht="34" customHeight="1">
      <x:c r="A127" s="27" t="str">
        <x:v>Q4</x:v>
      </x:c>
      <x:c r="B127" s="17" t="str">
        <x:v>시도·행동 (Attempt)</x:v>
      </x:c>
      <x:c r="C127" s="17" t="str">
        <x:v>OG0036 (9단어)</x:v>
      </x:c>
      <x:c r="D127" s="17" t="str">
        <x:v>scene_word_unscramble</x:v>
      </x:c>
      <x:c r="E127" s="53" t="n">
        <x:v>30</x:v>
      </x:c>
      <x:c r="F127" s="17" t="str">
        <x:f>IF(E127&gt;='전체 루브릭'!$C$5,"안정",IF(E127&gt;='전체 루브릭'!$C$6,"발달 중",IF(E127&gt;='전체 루브릭'!$C$7,"흔들림","집중 보완")))</x:f>
        <x:v>집중 보완</x:v>
      </x:c>
      <x:c r="G127" s="17" t="str">
        <x:v>그림을 보고 주인공의 행동을 두세 단어로 먼저 말해 봅시다.</x:v>
      </x:c>
      <x:c r="H127" s="17" t="str">
        <x:v>행동 문장의 의미와 어순 구성에 집중 지원이 필요합니다.</x:v>
      </x:c>
      <x:c r="I127" s="17" t="str">
        <x:v>교사가 문장을 읽어주고 단어를 한 칸씩 대응시켜 주세요.</x:v>
      </x:c>
    </x:row>
    <x:row r="128" ht="34" customHeight="1">
      <x:c r="A128" s="27" t="str">
        <x:v>Q4</x:v>
      </x:c>
      <x:c r="B128" s="17" t="str">
        <x:v>시도·행동 (Attempt)</x:v>
      </x:c>
      <x:c r="C128" s="17" t="str">
        <x:v>OG0036 (9단어)</x:v>
      </x:c>
      <x:c r="D128" s="17" t="str">
        <x:v>scene_word_unscramble</x:v>
      </x:c>
      <x:c r="E128" s="53" t="n">
        <x:v>33</x:v>
      </x:c>
      <x:c r="F128" s="17" t="str">
        <x:f>IF(E128&gt;='전체 루브릭'!$C$5,"안정",IF(E128&gt;='전체 루브릭'!$C$6,"발달 중",IF(E128&gt;='전체 루브릭'!$C$7,"흔들림","집중 보완")))</x:f>
        <x:v>집중 보완</x:v>
      </x:c>
      <x:c r="G128" s="17" t="str">
        <x:v>그림을 보고 주인공의 행동을 두세 단어로 먼저 말해 봅시다.</x:v>
      </x:c>
      <x:c r="H128" s="17" t="str">
        <x:v>행동 문장의 의미와 어순 구성에 집중 지원이 필요합니다.</x:v>
      </x:c>
      <x:c r="I128" s="17" t="str">
        <x:v>교사가 문장을 읽어주고 단어를 한 칸씩 대응시켜 주세요.</x:v>
      </x:c>
    </x:row>
    <x:row r="129" ht="34" customHeight="1">
      <x:c r="A129" s="27" t="str">
        <x:v>Q4</x:v>
      </x:c>
      <x:c r="B129" s="17" t="str">
        <x:v>시도·행동 (Attempt)</x:v>
      </x:c>
      <x:c r="C129" s="17" t="str">
        <x:v>OG0036 (9단어)</x:v>
      </x:c>
      <x:c r="D129" s="17" t="str">
        <x:v>scene_word_unscramble</x:v>
      </x:c>
      <x:c r="E129" s="53" t="n">
        <x:v>37</x:v>
      </x:c>
      <x:c r="F129" s="17" t="str">
        <x:f>IF(E129&gt;='전체 루브릭'!$C$5,"안정",IF(E129&gt;='전체 루브릭'!$C$6,"발달 중",IF(E129&gt;='전체 루브릭'!$C$7,"흔들림","집중 보완")))</x:f>
        <x:v>집중 보완</x:v>
      </x:c>
      <x:c r="G129" s="17" t="str">
        <x:v>그림을 보고 주인공의 행동을 두세 단어로 먼저 말해 봅시다.</x:v>
      </x:c>
      <x:c r="H129" s="17" t="str">
        <x:v>행동 문장의 의미와 어순 구성에 집중 지원이 필요합니다.</x:v>
      </x:c>
      <x:c r="I129" s="17" t="str">
        <x:v>교사가 문장을 읽어주고 단어를 한 칸씩 대응시켜 주세요.</x:v>
      </x:c>
    </x:row>
    <x:row r="130" ht="34" customHeight="1">
      <x:c r="A130" s="27" t="str">
        <x:v>Q4</x:v>
      </x:c>
      <x:c r="B130" s="17" t="str">
        <x:v>시도·행동 (Attempt)</x:v>
      </x:c>
      <x:c r="C130" s="17" t="str">
        <x:v>OG0036 (9단어)</x:v>
      </x:c>
      <x:c r="D130" s="17" t="str">
        <x:v>scene_word_unscramble</x:v>
      </x:c>
      <x:c r="E130" s="53" t="n">
        <x:v>41</x:v>
      </x:c>
      <x:c r="F130" s="17" t="str">
        <x:f>IF(E130&gt;='전체 루브릭'!$C$5,"안정",IF(E130&gt;='전체 루브릭'!$C$6,"발달 중",IF(E130&gt;='전체 루브릭'!$C$7,"흔들림","집중 보완")))</x:f>
        <x:v>집중 보완</x:v>
      </x:c>
      <x:c r="G130" s="17" t="str">
        <x:v>그림을 보고 주인공의 행동을 두세 단어로 먼저 말해 봅시다.</x:v>
      </x:c>
      <x:c r="H130" s="17" t="str">
        <x:v>행동 문장의 의미와 어순 구성에 집중 지원이 필요합니다.</x:v>
      </x:c>
      <x:c r="I130" s="17" t="str">
        <x:v>교사가 문장을 읽어주고 단어를 한 칸씩 대응시켜 주세요.</x:v>
      </x:c>
    </x:row>
    <x:row r="131" ht="34" customHeight="1">
      <x:c r="A131" s="27" t="str">
        <x:v>Q4</x:v>
      </x:c>
      <x:c r="B131" s="17" t="str">
        <x:v>시도·행동 (Attempt)</x:v>
      </x:c>
      <x:c r="C131" s="17" t="str">
        <x:v>OG0036 (9단어)</x:v>
      </x:c>
      <x:c r="D131" s="17" t="str">
        <x:v>scene_word_unscramble</x:v>
      </x:c>
      <x:c r="E131" s="53" t="n">
        <x:v>44</x:v>
      </x:c>
      <x:c r="F131" s="17" t="str">
        <x:f>IF(E131&gt;='전체 루브릭'!$C$5,"안정",IF(E131&gt;='전체 루브릭'!$C$6,"발달 중",IF(E131&gt;='전체 루브릭'!$C$7,"흔들림","집중 보완")))</x:f>
        <x:v>집중 보완</x:v>
      </x:c>
      <x:c r="G131" s="17" t="str">
        <x:v>그림을 보고 주인공의 행동을 두세 단어로 먼저 말해 봅시다.</x:v>
      </x:c>
      <x:c r="H131" s="17" t="str">
        <x:v>행동 문장의 의미와 어순 구성에 집중 지원이 필요합니다.</x:v>
      </x:c>
      <x:c r="I131" s="17" t="str">
        <x:v>교사가 문장을 읽어주고 단어를 한 칸씩 대응시켜 주세요.</x:v>
      </x:c>
    </x:row>
    <x:row r="132" ht="34" customHeight="1">
      <x:c r="A132" s="27" t="str">
        <x:v>Q4</x:v>
      </x:c>
      <x:c r="B132" s="17" t="str">
        <x:v>시도·행동 (Attempt)</x:v>
      </x:c>
      <x:c r="C132" s="17" t="str">
        <x:v>OG0036 (9단어)</x:v>
      </x:c>
      <x:c r="D132" s="17" t="str">
        <x:v>scene_word_unscramble</x:v>
      </x:c>
      <x:c r="E132" s="53" t="n">
        <x:v>48</x:v>
      </x:c>
      <x:c r="F132" s="17" t="str">
        <x:f>IF(E132&gt;='전체 루브릭'!$C$5,"안정",IF(E132&gt;='전체 루브릭'!$C$6,"발달 중",IF(E132&gt;='전체 루브릭'!$C$7,"흔들림","집중 보완")))</x:f>
        <x:v>집중 보완</x:v>
      </x:c>
      <x:c r="G132" s="17" t="str">
        <x:v>그림을 보고 주인공의 행동을 두세 단어로 먼저 말해 봅시다.</x:v>
      </x:c>
      <x:c r="H132" s="17" t="str">
        <x:v>행동 문장의 의미와 어순 구성에 집중 지원이 필요합니다.</x:v>
      </x:c>
      <x:c r="I132" s="17" t="str">
        <x:v>교사가 문장을 읽어주고 단어를 한 칸씩 대응시켜 주세요.</x:v>
      </x:c>
    </x:row>
    <x:row r="133" ht="34" customHeight="1">
      <x:c r="A133" s="27" t="str">
        <x:v>Q4</x:v>
      </x:c>
      <x:c r="B133" s="17" t="str">
        <x:v>시도·행동 (Attempt)</x:v>
      </x:c>
      <x:c r="C133" s="17" t="str">
        <x:v>OG0036 (9단어)</x:v>
      </x:c>
      <x:c r="D133" s="17" t="str">
        <x:v>scene_word_unscramble</x:v>
      </x:c>
      <x:c r="E133" s="53" t="n">
        <x:v>52</x:v>
      </x:c>
      <x:c r="F133" s="17" t="str">
        <x:f>IF(E133&gt;='전체 루브릭'!$C$5,"안정",IF(E133&gt;='전체 루브릭'!$C$6,"발달 중",IF(E133&gt;='전체 루브릭'!$C$7,"흔들림","집중 보완")))</x:f>
        <x:v>흔들림</x:v>
      </x:c>
      <x:c r="G133" s="17" t="str">
        <x:v>먼저 ‘누가’와 ‘무엇을 했는지’를 찾아 문장 앞에 놓아 보세요.</x:v>
      </x:c>
      <x:c r="H133" s="17" t="str">
        <x:v>행동 의미의 일부는 파악했으나 문장 구조 연결이 충분하지 않습니다.</x:v>
      </x:c>
      <x:c r="I133" s="17" t="str">
        <x:v>그림 속 행동을 짧게 말한 뒤 단어 카드로 옮겨 보세요.</x:v>
      </x:c>
    </x:row>
    <x:row r="134" ht="34" customHeight="1">
      <x:c r="A134" s="27" t="str">
        <x:v>Q4</x:v>
      </x:c>
      <x:c r="B134" s="17" t="str">
        <x:v>시도·행동 (Attempt)</x:v>
      </x:c>
      <x:c r="C134" s="17" t="str">
        <x:v>OG0036 (9단어)</x:v>
      </x:c>
      <x:c r="D134" s="17" t="str">
        <x:v>scene_word_unscramble</x:v>
      </x:c>
      <x:c r="E134" s="53" t="n">
        <x:v>56</x:v>
      </x:c>
      <x:c r="F134" s="17" t="str">
        <x:f>IF(E134&gt;='전체 루브릭'!$C$5,"안정",IF(E134&gt;='전체 루브릭'!$C$6,"발달 중",IF(E134&gt;='전체 루브릭'!$C$7,"흔들림","집중 보완")))</x:f>
        <x:v>흔들림</x:v>
      </x:c>
      <x:c r="G134" s="17" t="str">
        <x:v>먼저 ‘누가’와 ‘무엇을 했는지’를 찾아 문장 앞에 놓아 보세요.</x:v>
      </x:c>
      <x:c r="H134" s="17" t="str">
        <x:v>행동 의미의 일부는 파악했으나 문장 구조 연결이 충분하지 않습니다.</x:v>
      </x:c>
      <x:c r="I134" s="17" t="str">
        <x:v>그림 속 행동을 짧게 말한 뒤 단어 카드로 옮겨 보세요.</x:v>
      </x:c>
    </x:row>
    <x:row r="135" ht="34" customHeight="1">
      <x:c r="A135" s="27" t="str">
        <x:v>Q4</x:v>
      </x:c>
      <x:c r="B135" s="17" t="str">
        <x:v>시도·행동 (Attempt)</x:v>
      </x:c>
      <x:c r="C135" s="17" t="str">
        <x:v>OG0036 (9단어)</x:v>
      </x:c>
      <x:c r="D135" s="17" t="str">
        <x:v>scene_word_unscramble</x:v>
      </x:c>
      <x:c r="E135" s="53" t="n">
        <x:v>59</x:v>
      </x:c>
      <x:c r="F135" s="17" t="str">
        <x:f>IF(E135&gt;='전체 루브릭'!$C$5,"안정",IF(E135&gt;='전체 루브릭'!$C$6,"발달 중",IF(E135&gt;='전체 루브릭'!$C$7,"흔들림","집중 보완")))</x:f>
        <x:v>흔들림</x:v>
      </x:c>
      <x:c r="G135" s="17" t="str">
        <x:v>먼저 ‘누가’와 ‘무엇을 했는지’를 찾아 문장 앞에 놓아 보세요.</x:v>
      </x:c>
      <x:c r="H135" s="17" t="str">
        <x:v>행동 의미의 일부는 파악했으나 문장 구조 연결이 충분하지 않습니다.</x:v>
      </x:c>
      <x:c r="I135" s="17" t="str">
        <x:v>그림 속 행동을 짧게 말한 뒤 단어 카드로 옮겨 보세요.</x:v>
      </x:c>
    </x:row>
    <x:row r="136" ht="34" customHeight="1">
      <x:c r="A136" s="27" t="str">
        <x:v>Q4</x:v>
      </x:c>
      <x:c r="B136" s="17" t="str">
        <x:v>시도·행동 (Attempt)</x:v>
      </x:c>
      <x:c r="C136" s="17" t="str">
        <x:v>OG0036 (9단어)</x:v>
      </x:c>
      <x:c r="D136" s="17" t="str">
        <x:v>scene_word_unscramble</x:v>
      </x:c>
      <x:c r="E136" s="53" t="n">
        <x:v>63</x:v>
      </x:c>
      <x:c r="F136" s="17" t="str">
        <x:f>IF(E136&gt;='전체 루브릭'!$C$5,"안정",IF(E136&gt;='전체 루브릭'!$C$6,"발달 중",IF(E136&gt;='전체 루브릭'!$C$7,"흔들림","집중 보완")))</x:f>
        <x:v>흔들림</x:v>
      </x:c>
      <x:c r="G136" s="17" t="str">
        <x:v>먼저 ‘누가’와 ‘무엇을 했는지’를 찾아 문장 앞에 놓아 보세요.</x:v>
      </x:c>
      <x:c r="H136" s="17" t="str">
        <x:v>행동 의미의 일부는 파악했으나 문장 구조 연결이 충분하지 않습니다.</x:v>
      </x:c>
      <x:c r="I136" s="17" t="str">
        <x:v>그림 속 행동을 짧게 말한 뒤 단어 카드로 옮겨 보세요.</x:v>
      </x:c>
    </x:row>
    <x:row r="137" ht="34" customHeight="1">
      <x:c r="A137" s="27" t="str">
        <x:v>Q4</x:v>
      </x:c>
      <x:c r="B137" s="17" t="str">
        <x:v>시도·행동 (Attempt)</x:v>
      </x:c>
      <x:c r="C137" s="17" t="str">
        <x:v>OG0036 (9단어)</x:v>
      </x:c>
      <x:c r="D137" s="17" t="str">
        <x:v>scene_word_unscramble</x:v>
      </x:c>
      <x:c r="E137" s="53" t="n">
        <x:v>67</x:v>
      </x:c>
      <x:c r="F137" s="17" t="str">
        <x:f>IF(E137&gt;='전체 루브릭'!$C$5,"안정",IF(E137&gt;='전체 루브릭'!$C$6,"발달 중",IF(E137&gt;='전체 루브릭'!$C$7,"흔들림","집중 보완")))</x:f>
        <x:v>흔들림</x:v>
      </x:c>
      <x:c r="G137" s="17" t="str">
        <x:v>먼저 ‘누가’와 ‘무엇을 했는지’를 찾아 문장 앞에 놓아 보세요.</x:v>
      </x:c>
      <x:c r="H137" s="17" t="str">
        <x:v>행동 의미의 일부는 파악했으나 문장 구조 연결이 충분하지 않습니다.</x:v>
      </x:c>
      <x:c r="I137" s="17" t="str">
        <x:v>그림 속 행동을 짧게 말한 뒤 단어 카드로 옮겨 보세요.</x:v>
      </x:c>
    </x:row>
    <x:row r="138" ht="34" customHeight="1">
      <x:c r="A138" s="27" t="str">
        <x:v>Q4</x:v>
      </x:c>
      <x:c r="B138" s="17" t="str">
        <x:v>시도·행동 (Attempt)</x:v>
      </x:c>
      <x:c r="C138" s="17" t="str">
        <x:v>OG0036 (9단어)</x:v>
      </x:c>
      <x:c r="D138" s="17" t="str">
        <x:v>scene_word_unscramble</x:v>
      </x:c>
      <x:c r="E138" s="53" t="n">
        <x:v>70</x:v>
      </x:c>
      <x:c r="F138" s="17" t="str">
        <x:f>IF(E138&gt;='전체 루브릭'!$C$5,"안정",IF(E138&gt;='전체 루브릭'!$C$6,"발달 중",IF(E138&gt;='전체 루브릭'!$C$7,"흔들림","집중 보완")))</x:f>
        <x:v>발달 중</x:v>
      </x:c>
      <x:c r="G138" s="17" t="str">
        <x:v>행동 문장의 큰 구조는 맞아요. 어순이 바뀐 단어를 다시 살펴보세요.</x:v>
      </x:c>
      <x:c r="H138" s="17" t="str">
        <x:v>핵심 행동은 이해했으나 일부 기능어 또는 세부 어순이 흔들렸습니다.</x:v>
      </x:c>
      <x:c r="I138" s="17" t="str">
        <x:v>주어와 동사를 먼저 고정한 뒤 나머지 단어를 배치하세요.</x:v>
      </x:c>
    </x:row>
    <x:row r="139" ht="34" customHeight="1">
      <x:c r="A139" s="27" t="str">
        <x:v>Q4</x:v>
      </x:c>
      <x:c r="B139" s="17" t="str">
        <x:v>시도·행동 (Attempt)</x:v>
      </x:c>
      <x:c r="C139" s="17" t="str">
        <x:v>OG0036 (9단어)</x:v>
      </x:c>
      <x:c r="D139" s="17" t="str">
        <x:v>scene_word_unscramble</x:v>
      </x:c>
      <x:c r="E139" s="53" t="n">
        <x:v>74</x:v>
      </x:c>
      <x:c r="F139" s="17" t="str">
        <x:f>IF(E139&gt;='전체 루브릭'!$C$5,"안정",IF(E139&gt;='전체 루브릭'!$C$6,"발달 중",IF(E139&gt;='전체 루브릭'!$C$7,"흔들림","집중 보완")))</x:f>
        <x:v>발달 중</x:v>
      </x:c>
      <x:c r="G139" s="17" t="str">
        <x:v>행동 문장의 큰 구조는 맞아요. 어순이 바뀐 단어를 다시 살펴보세요.</x:v>
      </x:c>
      <x:c r="H139" s="17" t="str">
        <x:v>핵심 행동은 이해했으나 일부 기능어 또는 세부 어순이 흔들렸습니다.</x:v>
      </x:c>
      <x:c r="I139" s="17" t="str">
        <x:v>주어와 동사를 먼저 고정한 뒤 나머지 단어를 배치하세요.</x:v>
      </x:c>
    </x:row>
    <x:row r="140" ht="34" customHeight="1">
      <x:c r="A140" s="27" t="str">
        <x:v>Q4</x:v>
      </x:c>
      <x:c r="B140" s="17" t="str">
        <x:v>시도·행동 (Attempt)</x:v>
      </x:c>
      <x:c r="C140" s="17" t="str">
        <x:v>OG0036 (9단어)</x:v>
      </x:c>
      <x:c r="D140" s="17" t="str">
        <x:v>scene_word_unscramble</x:v>
      </x:c>
      <x:c r="E140" s="53" t="n">
        <x:v>78</x:v>
      </x:c>
      <x:c r="F140" s="17" t="str">
        <x:f>IF(E140&gt;='전체 루브릭'!$C$5,"안정",IF(E140&gt;='전체 루브릭'!$C$6,"발달 중",IF(E140&gt;='전체 루브릭'!$C$7,"흔들림","집중 보완")))</x:f>
        <x:v>발달 중</x:v>
      </x:c>
      <x:c r="G140" s="17" t="str">
        <x:v>행동 문장의 큰 구조는 맞아요. 어순이 바뀐 단어를 다시 살펴보세요.</x:v>
      </x:c>
      <x:c r="H140" s="17" t="str">
        <x:v>핵심 행동은 이해했으나 일부 기능어 또는 세부 어순이 흔들렸습니다.</x:v>
      </x:c>
      <x:c r="I140" s="17" t="str">
        <x:v>주어와 동사를 먼저 고정한 뒤 나머지 단어를 배치하세요.</x:v>
      </x:c>
    </x:row>
    <x:row r="141" ht="34" customHeight="1">
      <x:c r="A141" s="27" t="str">
        <x:v>Q4</x:v>
      </x:c>
      <x:c r="B141" s="17" t="str">
        <x:v>시도·행동 (Attempt)</x:v>
      </x:c>
      <x:c r="C141" s="17" t="str">
        <x:v>OG0036 (9단어)</x:v>
      </x:c>
      <x:c r="D141" s="17" t="str">
        <x:v>scene_word_unscramble</x:v>
      </x:c>
      <x:c r="E141" s="53" t="n">
        <x:v>85</x:v>
      </x:c>
      <x:c r="F141" s="17" t="str">
        <x:f>IF(E141&gt;='전체 루브릭'!$C$5,"안정",IF(E141&gt;='전체 루브릭'!$C$6,"발달 중",IF(E141&gt;='전체 루브릭'!$C$7,"흔들림","집중 보완")))</x:f>
        <x:v>안정</x:v>
      </x:c>
      <x:c r="G141" s="17" t="str">
        <x:v>누가 무엇을 했는지 문장을 정확한 순서로 만들었어요.</x:v>
      </x:c>
      <x:c r="H141" s="17" t="str">
        <x:v>행위자·핵심 행동·문장 구조를 안정적으로 구성했습니다.</x:v>
      </x:c>
      <x:c r="I141" s="17" t="str">
        <x:v>같은 장면을 다른 표현의 문장으로 바꾸어 말해 보세요.</x:v>
      </x:c>
    </x:row>
    <x:row r="142" ht="34" customHeight="1">
      <x:c r="A142" s="27" t="str">
        <x:v>Q4</x:v>
      </x:c>
      <x:c r="B142" s="17" t="str">
        <x:v>시도·행동 (Attempt)</x:v>
      </x:c>
      <x:c r="C142" s="17" t="str">
        <x:v>OG0036 (9단어)</x:v>
      </x:c>
      <x:c r="D142" s="17" t="str">
        <x:v>scene_word_unscramble</x:v>
      </x:c>
      <x:c r="E142" s="53" t="n">
        <x:v>100</x:v>
      </x:c>
      <x:c r="F142" s="17" t="str">
        <x:f>IF(E142&gt;='전체 루브릭'!$C$5,"안정",IF(E142&gt;='전체 루브릭'!$C$6,"발달 중",IF(E142&gt;='전체 루브릭'!$C$7,"흔들림","집중 보완")))</x:f>
        <x:v>안정</x:v>
      </x:c>
      <x:c r="G142" s="17" t="str">
        <x:v>누가 무엇을 했는지 문장을 정확한 순서로 만들었어요.</x:v>
      </x:c>
      <x:c r="H142" s="17" t="str">
        <x:v>행위자·핵심 행동·문장 구조를 안정적으로 구성했습니다.</x:v>
      </x:c>
      <x:c r="I142" s="17" t="str">
        <x:v>같은 장면을 다른 표현의 문장으로 바꾸어 말해 보세요.</x:v>
      </x:c>
    </x:row>
    <x:row r="143" ht="34" customHeight="1">
      <x:c r="A143" s="27" t="str">
        <x:v>Q4</x:v>
      </x:c>
      <x:c r="B143" s="17" t="str">
        <x:v>시도·행동 (Attempt)</x:v>
      </x:c>
      <x:c r="C143" s="17" t="str">
        <x:v>OG0049 (7단어)</x:v>
      </x:c>
      <x:c r="D143" s="17" t="str">
        <x:v>scene_word_unscramble</x:v>
      </x:c>
      <x:c r="E143" s="53" t="n">
        <x:v>0</x:v>
      </x:c>
      <x:c r="F143" s="17" t="str">
        <x:f>IF(E143&gt;='전체 루브릭'!$C$5,"안정",IF(E143&gt;='전체 루브릭'!$C$6,"발달 중",IF(E143&gt;='전체 루브릭'!$C$7,"흔들림","집중 보완")))</x:f>
        <x:v>집중 보완</x:v>
      </x:c>
      <x:c r="G143" s="17" t="str">
        <x:v>그림을 보고 주인공의 행동을 두세 단어로 먼저 말해 봅시다.</x:v>
      </x:c>
      <x:c r="H143" s="17" t="str">
        <x:v>행동 문장의 의미와 어순 구성에 집중 지원이 필요합니다.</x:v>
      </x:c>
      <x:c r="I143" s="17" t="str">
        <x:v>교사가 문장을 읽어주고 단어를 한 칸씩 대응시켜 주세요.</x:v>
      </x:c>
    </x:row>
    <x:row r="144" ht="34" customHeight="1">
      <x:c r="A144" s="27" t="str">
        <x:v>Q4</x:v>
      </x:c>
      <x:c r="B144" s="17" t="str">
        <x:v>시도·행동 (Attempt)</x:v>
      </x:c>
      <x:c r="C144" s="17" t="str">
        <x:v>OG0049 (7단어)</x:v>
      </x:c>
      <x:c r="D144" s="17" t="str">
        <x:v>scene_word_unscramble</x:v>
      </x:c>
      <x:c r="E144" s="53" t="n">
        <x:v>9</x:v>
      </x:c>
      <x:c r="F144" s="17" t="str">
        <x:f>IF(E144&gt;='전체 루브릭'!$C$5,"안정",IF(E144&gt;='전체 루브릭'!$C$6,"발달 중",IF(E144&gt;='전체 루브릭'!$C$7,"흔들림","집중 보완")))</x:f>
        <x:v>집중 보완</x:v>
      </x:c>
      <x:c r="G144" s="17" t="str">
        <x:v>그림을 보고 주인공의 행동을 두세 단어로 먼저 말해 봅시다.</x:v>
      </x:c>
      <x:c r="H144" s="17" t="str">
        <x:v>행동 문장의 의미와 어순 구성에 집중 지원이 필요합니다.</x:v>
      </x:c>
      <x:c r="I144" s="17" t="str">
        <x:v>교사가 문장을 읽어주고 단어를 한 칸씩 대응시켜 주세요.</x:v>
      </x:c>
    </x:row>
    <x:row r="145" ht="34" customHeight="1">
      <x:c r="A145" s="27" t="str">
        <x:v>Q4</x:v>
      </x:c>
      <x:c r="B145" s="17" t="str">
        <x:v>시도·행동 (Attempt)</x:v>
      </x:c>
      <x:c r="C145" s="17" t="str">
        <x:v>OG0049 (7단어)</x:v>
      </x:c>
      <x:c r="D145" s="17" t="str">
        <x:v>scene_word_unscramble</x:v>
      </x:c>
      <x:c r="E145" s="53" t="n">
        <x:v>17</x:v>
      </x:c>
      <x:c r="F145" s="17" t="str">
        <x:f>IF(E145&gt;='전체 루브릭'!$C$5,"안정",IF(E145&gt;='전체 루브릭'!$C$6,"발달 중",IF(E145&gt;='전체 루브릭'!$C$7,"흔들림","집중 보완")))</x:f>
        <x:v>집중 보완</x:v>
      </x:c>
      <x:c r="G145" s="17" t="str">
        <x:v>그림을 보고 주인공의 행동을 두세 단어로 먼저 말해 봅시다.</x:v>
      </x:c>
      <x:c r="H145" s="17" t="str">
        <x:v>행동 문장의 의미와 어순 구성에 집중 지원이 필요합니다.</x:v>
      </x:c>
      <x:c r="I145" s="17" t="str">
        <x:v>교사가 문장을 읽어주고 단어를 한 칸씩 대응시켜 주세요.</x:v>
      </x:c>
    </x:row>
    <x:row r="146" ht="34" customHeight="1">
      <x:c r="A146" s="27" t="str">
        <x:v>Q4</x:v>
      </x:c>
      <x:c r="B146" s="17" t="str">
        <x:v>시도·행동 (Attempt)</x:v>
      </x:c>
      <x:c r="C146" s="17" t="str">
        <x:v>OG0049 (7단어)</x:v>
      </x:c>
      <x:c r="D146" s="17" t="str">
        <x:v>scene_word_unscramble</x:v>
      </x:c>
      <x:c r="E146" s="53" t="n">
        <x:v>22</x:v>
      </x:c>
      <x:c r="F146" s="17" t="str">
        <x:f>IF(E146&gt;='전체 루브릭'!$C$5,"안정",IF(E146&gt;='전체 루브릭'!$C$6,"발달 중",IF(E146&gt;='전체 루브릭'!$C$7,"흔들림","집중 보완")))</x:f>
        <x:v>집중 보완</x:v>
      </x:c>
      <x:c r="G146" s="17" t="str">
        <x:v>그림을 보고 주인공의 행동을 두세 단어로 먼저 말해 봅시다.</x:v>
      </x:c>
      <x:c r="H146" s="17" t="str">
        <x:v>행동 문장의 의미와 어순 구성에 집중 지원이 필요합니다.</x:v>
      </x:c>
      <x:c r="I146" s="17" t="str">
        <x:v>교사가 문장을 읽어주고 단어를 한 칸씩 대응시켜 주세요.</x:v>
      </x:c>
    </x:row>
    <x:row r="147" ht="34" customHeight="1">
      <x:c r="A147" s="27" t="str">
        <x:v>Q4</x:v>
      </x:c>
      <x:c r="B147" s="17" t="str">
        <x:v>시도·행동 (Attempt)</x:v>
      </x:c>
      <x:c r="C147" s="17" t="str">
        <x:v>OG0049 (7단어)</x:v>
      </x:c>
      <x:c r="D147" s="17" t="str">
        <x:v>scene_word_unscramble</x:v>
      </x:c>
      <x:c r="E147" s="53" t="n">
        <x:v>26</x:v>
      </x:c>
      <x:c r="F147" s="17" t="str">
        <x:f>IF(E147&gt;='전체 루브릭'!$C$5,"안정",IF(E147&gt;='전체 루브릭'!$C$6,"발달 중",IF(E147&gt;='전체 루브릭'!$C$7,"흔들림","집중 보완")))</x:f>
        <x:v>집중 보완</x:v>
      </x:c>
      <x:c r="G147" s="17" t="str">
        <x:v>그림을 보고 주인공의 행동을 두세 단어로 먼저 말해 봅시다.</x:v>
      </x:c>
      <x:c r="H147" s="17" t="str">
        <x:v>행동 문장의 의미와 어순 구성에 집중 지원이 필요합니다.</x:v>
      </x:c>
      <x:c r="I147" s="17" t="str">
        <x:v>교사가 문장을 읽어주고 단어를 한 칸씩 대응시켜 주세요.</x:v>
      </x:c>
    </x:row>
    <x:row r="148" ht="34" customHeight="1">
      <x:c r="A148" s="27" t="str">
        <x:v>Q4</x:v>
      </x:c>
      <x:c r="B148" s="17" t="str">
        <x:v>시도·행동 (Attempt)</x:v>
      </x:c>
      <x:c r="C148" s="17" t="str">
        <x:v>OG0049 (7단어)</x:v>
      </x:c>
      <x:c r="D148" s="17" t="str">
        <x:v>scene_word_unscramble</x:v>
      </x:c>
      <x:c r="E148" s="53" t="n">
        <x:v>30</x:v>
      </x:c>
      <x:c r="F148" s="17" t="str">
        <x:f>IF(E148&gt;='전체 루브릭'!$C$5,"안정",IF(E148&gt;='전체 루브릭'!$C$6,"발달 중",IF(E148&gt;='전체 루브릭'!$C$7,"흔들림","집중 보완")))</x:f>
        <x:v>집중 보완</x:v>
      </x:c>
      <x:c r="G148" s="17" t="str">
        <x:v>그림을 보고 주인공의 행동을 두세 단어로 먼저 말해 봅시다.</x:v>
      </x:c>
      <x:c r="H148" s="17" t="str">
        <x:v>행동 문장의 의미와 어순 구성에 집중 지원이 필요합니다.</x:v>
      </x:c>
      <x:c r="I148" s="17" t="str">
        <x:v>교사가 문장을 읽어주고 단어를 한 칸씩 대응시켜 주세요.</x:v>
      </x:c>
    </x:row>
    <x:row r="149" ht="34" customHeight="1">
      <x:c r="A149" s="27" t="str">
        <x:v>Q4</x:v>
      </x:c>
      <x:c r="B149" s="17" t="str">
        <x:v>시도·행동 (Attempt)</x:v>
      </x:c>
      <x:c r="C149" s="17" t="str">
        <x:v>OG0049 (7단어)</x:v>
      </x:c>
      <x:c r="D149" s="17" t="str">
        <x:v>scene_word_unscramble</x:v>
      </x:c>
      <x:c r="E149" s="53" t="n">
        <x:v>35</x:v>
      </x:c>
      <x:c r="F149" s="17" t="str">
        <x:f>IF(E149&gt;='전체 루브릭'!$C$5,"안정",IF(E149&gt;='전체 루브릭'!$C$6,"발달 중",IF(E149&gt;='전체 루브릭'!$C$7,"흔들림","집중 보완")))</x:f>
        <x:v>집중 보완</x:v>
      </x:c>
      <x:c r="G149" s="17" t="str">
        <x:v>그림을 보고 주인공의 행동을 두세 단어로 먼저 말해 봅시다.</x:v>
      </x:c>
      <x:c r="H149" s="17" t="str">
        <x:v>행동 문장의 의미와 어순 구성에 집중 지원이 필요합니다.</x:v>
      </x:c>
      <x:c r="I149" s="17" t="str">
        <x:v>교사가 문장을 읽어주고 단어를 한 칸씩 대응시켜 주세요.</x:v>
      </x:c>
    </x:row>
    <x:row r="150" ht="34" customHeight="1">
      <x:c r="A150" s="27" t="str">
        <x:v>Q4</x:v>
      </x:c>
      <x:c r="B150" s="17" t="str">
        <x:v>시도·행동 (Attempt)</x:v>
      </x:c>
      <x:c r="C150" s="17" t="str">
        <x:v>OG0049 (7단어)</x:v>
      </x:c>
      <x:c r="D150" s="17" t="str">
        <x:v>scene_word_unscramble</x:v>
      </x:c>
      <x:c r="E150" s="53" t="n">
        <x:v>39</x:v>
      </x:c>
      <x:c r="F150" s="17" t="str">
        <x:f>IF(E150&gt;='전체 루브릭'!$C$5,"안정",IF(E150&gt;='전체 루브릭'!$C$6,"발달 중",IF(E150&gt;='전체 루브릭'!$C$7,"흔들림","집중 보완")))</x:f>
        <x:v>집중 보완</x:v>
      </x:c>
      <x:c r="G150" s="17" t="str">
        <x:v>그림을 보고 주인공의 행동을 두세 단어로 먼저 말해 봅시다.</x:v>
      </x:c>
      <x:c r="H150" s="17" t="str">
        <x:v>행동 문장의 의미와 어순 구성에 집중 지원이 필요합니다.</x:v>
      </x:c>
      <x:c r="I150" s="17" t="str">
        <x:v>교사가 문장을 읽어주고 단어를 한 칸씩 대응시켜 주세요.</x:v>
      </x:c>
    </x:row>
    <x:row r="151" ht="34" customHeight="1">
      <x:c r="A151" s="27" t="str">
        <x:v>Q4</x:v>
      </x:c>
      <x:c r="B151" s="17" t="str">
        <x:v>시도·행동 (Attempt)</x:v>
      </x:c>
      <x:c r="C151" s="17" t="str">
        <x:v>OG0049 (7단어)</x:v>
      </x:c>
      <x:c r="D151" s="17" t="str">
        <x:v>scene_word_unscramble</x:v>
      </x:c>
      <x:c r="E151" s="53" t="n">
        <x:v>43</x:v>
      </x:c>
      <x:c r="F151" s="17" t="str">
        <x:f>IF(E151&gt;='전체 루브릭'!$C$5,"안정",IF(E151&gt;='전체 루브릭'!$C$6,"발달 중",IF(E151&gt;='전체 루브릭'!$C$7,"흔들림","집중 보완")))</x:f>
        <x:v>집중 보완</x:v>
      </x:c>
      <x:c r="G151" s="17" t="str">
        <x:v>그림을 보고 주인공의 행동을 두세 단어로 먼저 말해 봅시다.</x:v>
      </x:c>
      <x:c r="H151" s="17" t="str">
        <x:v>행동 문장의 의미와 어순 구성에 집중 지원이 필요합니다.</x:v>
      </x:c>
      <x:c r="I151" s="17" t="str">
        <x:v>교사가 문장을 읽어주고 단어를 한 칸씩 대응시켜 주세요.</x:v>
      </x:c>
    </x:row>
    <x:row r="152" ht="34" customHeight="1">
      <x:c r="A152" s="27" t="str">
        <x:v>Q4</x:v>
      </x:c>
      <x:c r="B152" s="17" t="str">
        <x:v>시도·행동 (Attempt)</x:v>
      </x:c>
      <x:c r="C152" s="17" t="str">
        <x:v>OG0049 (7단어)</x:v>
      </x:c>
      <x:c r="D152" s="17" t="str">
        <x:v>scene_word_unscramble</x:v>
      </x:c>
      <x:c r="E152" s="53" t="n">
        <x:v>48</x:v>
      </x:c>
      <x:c r="F152" s="17" t="str">
        <x:f>IF(E152&gt;='전체 루브릭'!$C$5,"안정",IF(E152&gt;='전체 루브릭'!$C$6,"발달 중",IF(E152&gt;='전체 루브릭'!$C$7,"흔들림","집중 보완")))</x:f>
        <x:v>집중 보완</x:v>
      </x:c>
      <x:c r="G152" s="17" t="str">
        <x:v>그림을 보고 주인공의 행동을 두세 단어로 먼저 말해 봅시다.</x:v>
      </x:c>
      <x:c r="H152" s="17" t="str">
        <x:v>행동 문장의 의미와 어순 구성에 집중 지원이 필요합니다.</x:v>
      </x:c>
      <x:c r="I152" s="17" t="str">
        <x:v>교사가 문장을 읽어주고 단어를 한 칸씩 대응시켜 주세요.</x:v>
      </x:c>
    </x:row>
    <x:row r="153" ht="34" customHeight="1">
      <x:c r="A153" s="27" t="str">
        <x:v>Q4</x:v>
      </x:c>
      <x:c r="B153" s="17" t="str">
        <x:v>시도·행동 (Attempt)</x:v>
      </x:c>
      <x:c r="C153" s="17" t="str">
        <x:v>OG0049 (7단어)</x:v>
      </x:c>
      <x:c r="D153" s="17" t="str">
        <x:v>scene_word_unscramble</x:v>
      </x:c>
      <x:c r="E153" s="53" t="n">
        <x:v>52</x:v>
      </x:c>
      <x:c r="F153" s="17" t="str">
        <x:f>IF(E153&gt;='전체 루브릭'!$C$5,"안정",IF(E153&gt;='전체 루브릭'!$C$6,"발달 중",IF(E153&gt;='전체 루브릭'!$C$7,"흔들림","집중 보완")))</x:f>
        <x:v>흔들림</x:v>
      </x:c>
      <x:c r="G153" s="17" t="str">
        <x:v>먼저 ‘누가’와 ‘무엇을 했는지’를 찾아 문장 앞에 놓아 보세요.</x:v>
      </x:c>
      <x:c r="H153" s="17" t="str">
        <x:v>행동 의미의 일부는 파악했으나 문장 구조 연결이 충분하지 않습니다.</x:v>
      </x:c>
      <x:c r="I153" s="17" t="str">
        <x:v>그림 속 행동을 짧게 말한 뒤 단어 카드로 옮겨 보세요.</x:v>
      </x:c>
    </x:row>
    <x:row r="154" ht="34" customHeight="1">
      <x:c r="A154" s="27" t="str">
        <x:v>Q4</x:v>
      </x:c>
      <x:c r="B154" s="17" t="str">
        <x:v>시도·행동 (Attempt)</x:v>
      </x:c>
      <x:c r="C154" s="17" t="str">
        <x:v>OG0049 (7단어)</x:v>
      </x:c>
      <x:c r="D154" s="17" t="str">
        <x:v>scene_word_unscramble</x:v>
      </x:c>
      <x:c r="E154" s="53" t="n">
        <x:v>57</x:v>
      </x:c>
      <x:c r="F154" s="17" t="str">
        <x:f>IF(E154&gt;='전체 루브릭'!$C$5,"안정",IF(E154&gt;='전체 루브릭'!$C$6,"발달 중",IF(E154&gt;='전체 루브릭'!$C$7,"흔들림","집중 보완")))</x:f>
        <x:v>흔들림</x:v>
      </x:c>
      <x:c r="G154" s="17" t="str">
        <x:v>먼저 ‘누가’와 ‘무엇을 했는지’를 찾아 문장 앞에 놓아 보세요.</x:v>
      </x:c>
      <x:c r="H154" s="17" t="str">
        <x:v>행동 의미의 일부는 파악했으나 문장 구조 연결이 충분하지 않습니다.</x:v>
      </x:c>
      <x:c r="I154" s="17" t="str">
        <x:v>그림 속 행동을 짧게 말한 뒤 단어 카드로 옮겨 보세요.</x:v>
      </x:c>
    </x:row>
    <x:row r="155" ht="34" customHeight="1">
      <x:c r="A155" s="27" t="str">
        <x:v>Q4</x:v>
      </x:c>
      <x:c r="B155" s="17" t="str">
        <x:v>시도·행동 (Attempt)</x:v>
      </x:c>
      <x:c r="C155" s="17" t="str">
        <x:v>OG0049 (7단어)</x:v>
      </x:c>
      <x:c r="D155" s="17" t="str">
        <x:v>scene_word_unscramble</x:v>
      </x:c>
      <x:c r="E155" s="53" t="n">
        <x:v>61</x:v>
      </x:c>
      <x:c r="F155" s="17" t="str">
        <x:f>IF(E155&gt;='전체 루브릭'!$C$5,"안정",IF(E155&gt;='전체 루브릭'!$C$6,"발달 중",IF(E155&gt;='전체 루브릭'!$C$7,"흔들림","집중 보완")))</x:f>
        <x:v>흔들림</x:v>
      </x:c>
      <x:c r="G155" s="17" t="str">
        <x:v>먼저 ‘누가’와 ‘무엇을 했는지’를 찾아 문장 앞에 놓아 보세요.</x:v>
      </x:c>
      <x:c r="H155" s="17" t="str">
        <x:v>행동 의미의 일부는 파악했으나 문장 구조 연결이 충분하지 않습니다.</x:v>
      </x:c>
      <x:c r="I155" s="17" t="str">
        <x:v>그림 속 행동을 짧게 말한 뒤 단어 카드로 옮겨 보세요.</x:v>
      </x:c>
    </x:row>
    <x:row r="156" ht="34" customHeight="1">
      <x:c r="A156" s="27" t="str">
        <x:v>Q4</x:v>
      </x:c>
      <x:c r="B156" s="17" t="str">
        <x:v>시도·행동 (Attempt)</x:v>
      </x:c>
      <x:c r="C156" s="17" t="str">
        <x:v>OG0049 (7단어)</x:v>
      </x:c>
      <x:c r="D156" s="17" t="str">
        <x:v>scene_word_unscramble</x:v>
      </x:c>
      <x:c r="E156" s="53" t="n">
        <x:v>65</x:v>
      </x:c>
      <x:c r="F156" s="17" t="str">
        <x:f>IF(E156&gt;='전체 루브릭'!$C$5,"안정",IF(E156&gt;='전체 루브릭'!$C$6,"발달 중",IF(E156&gt;='전체 루브릭'!$C$7,"흔들림","집중 보완")))</x:f>
        <x:v>흔들림</x:v>
      </x:c>
      <x:c r="G156" s="17" t="str">
        <x:v>먼저 ‘누가’와 ‘무엇을 했는지’를 찾아 문장 앞에 놓아 보세요.</x:v>
      </x:c>
      <x:c r="H156" s="17" t="str">
        <x:v>행동 의미의 일부는 파악했으나 문장 구조 연결이 충분하지 않습니다.</x:v>
      </x:c>
      <x:c r="I156" s="17" t="str">
        <x:v>그림 속 행동을 짧게 말한 뒤 단어 카드로 옮겨 보세요.</x:v>
      </x:c>
    </x:row>
    <x:row r="157" ht="34" customHeight="1">
      <x:c r="A157" s="27" t="str">
        <x:v>Q4</x:v>
      </x:c>
      <x:c r="B157" s="17" t="str">
        <x:v>시도·행동 (Attempt)</x:v>
      </x:c>
      <x:c r="C157" s="17" t="str">
        <x:v>OG0049 (7단어)</x:v>
      </x:c>
      <x:c r="D157" s="17" t="str">
        <x:v>scene_word_unscramble</x:v>
      </x:c>
      <x:c r="E157" s="53" t="n">
        <x:v>70</x:v>
      </x:c>
      <x:c r="F157" s="17" t="str">
        <x:f>IF(E157&gt;='전체 루브릭'!$C$5,"안정",IF(E157&gt;='전체 루브릭'!$C$6,"발달 중",IF(E157&gt;='전체 루브릭'!$C$7,"흔들림","집중 보완")))</x:f>
        <x:v>발달 중</x:v>
      </x:c>
      <x:c r="G157" s="17" t="str">
        <x:v>행동 문장의 큰 구조는 맞아요. 어순이 바뀐 단어를 다시 살펴보세요.</x:v>
      </x:c>
      <x:c r="H157" s="17" t="str">
        <x:v>핵심 행동은 이해했으나 일부 기능어 또는 세부 어순이 흔들렸습니다.</x:v>
      </x:c>
      <x:c r="I157" s="17" t="str">
        <x:v>주어와 동사를 먼저 고정한 뒤 나머지 단어를 배치하세요.</x:v>
      </x:c>
    </x:row>
    <x:row r="158" ht="34" customHeight="1">
      <x:c r="A158" s="27" t="str">
        <x:v>Q4</x:v>
      </x:c>
      <x:c r="B158" s="17" t="str">
        <x:v>시도·행동 (Attempt)</x:v>
      </x:c>
      <x:c r="C158" s="17" t="str">
        <x:v>OG0049 (7단어)</x:v>
      </x:c>
      <x:c r="D158" s="17" t="str">
        <x:v>scene_word_unscramble</x:v>
      </x:c>
      <x:c r="E158" s="53" t="n">
        <x:v>74</x:v>
      </x:c>
      <x:c r="F158" s="17" t="str">
        <x:f>IF(E158&gt;='전체 루브릭'!$C$5,"안정",IF(E158&gt;='전체 루브릭'!$C$6,"발달 중",IF(E158&gt;='전체 루브릭'!$C$7,"흔들림","집중 보완")))</x:f>
        <x:v>발달 중</x:v>
      </x:c>
      <x:c r="G158" s="17" t="str">
        <x:v>행동 문장의 큰 구조는 맞아요. 어순이 바뀐 단어를 다시 살펴보세요.</x:v>
      </x:c>
      <x:c r="H158" s="17" t="str">
        <x:v>핵심 행동은 이해했으나 일부 기능어 또는 세부 어순이 흔들렸습니다.</x:v>
      </x:c>
      <x:c r="I158" s="17" t="str">
        <x:v>주어와 동사를 먼저 고정한 뒤 나머지 단어를 배치하세요.</x:v>
      </x:c>
    </x:row>
    <x:row r="159" ht="34" customHeight="1">
      <x:c r="A159" s="27" t="str">
        <x:v>Q4</x:v>
      </x:c>
      <x:c r="B159" s="17" t="str">
        <x:v>시도·행동 (Attempt)</x:v>
      </x:c>
      <x:c r="C159" s="17" t="str">
        <x:v>OG0049 (7단어)</x:v>
      </x:c>
      <x:c r="D159" s="17" t="str">
        <x:v>scene_word_unscramble</x:v>
      </x:c>
      <x:c r="E159" s="53" t="n">
        <x:v>83</x:v>
      </x:c>
      <x:c r="F159" s="17" t="str">
        <x:f>IF(E159&gt;='전체 루브릭'!$C$5,"안정",IF(E159&gt;='전체 루브릭'!$C$6,"발달 중",IF(E159&gt;='전체 루브릭'!$C$7,"흔들림","집중 보완")))</x:f>
        <x:v>발달 중</x:v>
      </x:c>
      <x:c r="G159" s="17" t="str">
        <x:v>행동 문장의 큰 구조는 맞아요. 어순이 바뀐 단어를 다시 살펴보세요.</x:v>
      </x:c>
      <x:c r="H159" s="17" t="str">
        <x:v>핵심 행동은 이해했으나 일부 기능어 또는 세부 어순이 흔들렸습니다.</x:v>
      </x:c>
      <x:c r="I159" s="17" t="str">
        <x:v>주어와 동사를 먼저 고정한 뒤 나머지 단어를 배치하세요.</x:v>
      </x:c>
    </x:row>
    <x:row r="160" ht="34" customHeight="1">
      <x:c r="A160" s="27" t="str">
        <x:v>Q4</x:v>
      </x:c>
      <x:c r="B160" s="17" t="str">
        <x:v>시도·행동 (Attempt)</x:v>
      </x:c>
      <x:c r="C160" s="17" t="str">
        <x:v>OG0049 (7단어)</x:v>
      </x:c>
      <x:c r="D160" s="17" t="str">
        <x:v>scene_word_unscramble</x:v>
      </x:c>
      <x:c r="E160" s="53" t="n">
        <x:v>100</x:v>
      </x:c>
      <x:c r="F160" s="17" t="str">
        <x:f>IF(E160&gt;='전체 루브릭'!$C$5,"안정",IF(E160&gt;='전체 루브릭'!$C$6,"발달 중",IF(E160&gt;='전체 루브릭'!$C$7,"흔들림","집중 보완")))</x:f>
        <x:v>안정</x:v>
      </x:c>
      <x:c r="G160" s="17" t="str">
        <x:v>누가 무엇을 했는지 문장을 정확한 순서로 만들었어요.</x:v>
      </x:c>
      <x:c r="H160" s="17" t="str">
        <x:v>행위자·핵심 행동·문장 구조를 안정적으로 구성했습니다.</x:v>
      </x:c>
      <x:c r="I160" s="17" t="str">
        <x:v>같은 장면을 다른 표현의 문장으로 바꾸어 말해 보세요.</x:v>
      </x:c>
    </x:row>
    <x:row r="161" ht="34" customHeight="1">
      <x:c r="A161" s="27" t="str">
        <x:v>Q5</x:v>
      </x:c>
      <x:c r="B161" s="17" t="str">
        <x:v>감정 반응 (Reaction)</x:v>
      </x:c>
      <x:c r="C161" s="17" t="str">
        <x:v>6종 콘텐츠 통합</x:v>
      </x:c>
      <x:c r="D161" s="17" t="str">
        <x:v>emotion_mcq</x:v>
      </x:c>
      <x:c r="E161" s="53" t="n">
        <x:v>0</x:v>
      </x:c>
      <x:c r="F161" s="17" t="str">
        <x:f>IF(E161&gt;='전체 루브릭'!$C$5,"안정",IF(E161&gt;='전체 루브릭'!$C$6,"발달 중",IF(E161&gt;='전체 루브릭'!$C$7,"흔들림","집중 보완")))</x:f>
        <x:v>집중 보완</x:v>
      </x:c>
      <x:c r="G161" s="17" t="str">
        <x:v>장면에서 좋은 일인지 어려운 일인지 먼저 판단한 뒤 감정을 골라 보세요.</x:v>
      </x:c>
      <x:c r="H161" s="17" t="str">
        <x:v>사건과 감정 반응의 연결 또는 감정 어휘 구분에 집중 보완이 필요합니다.</x:v>
      </x:c>
      <x:c r="I161" s="17" t="str">
        <x:v>감정 카드를 긍정/부정으로 나누고 장면 근거와 짝지어 보세요.</x:v>
      </x:c>
    </x:row>
    <x:row r="162" ht="34" customHeight="1">
      <x:c r="A162" s="27" t="str">
        <x:v>Q5</x:v>
      </x:c>
      <x:c r="B162" s="17" t="str">
        <x:v>감정 반응 (Reaction)</x:v>
      </x:c>
      <x:c r="C162" s="17" t="str">
        <x:v>6종 콘텐츠 통합</x:v>
      </x:c>
      <x:c r="D162" s="17" t="str">
        <x:v>emotion_mcq</x:v>
      </x:c>
      <x:c r="E162" s="53" t="n">
        <x:v>10</x:v>
      </x:c>
      <x:c r="F162" s="17" t="str">
        <x:f>IF(E162&gt;='전체 루브릭'!$C$5,"안정",IF(E162&gt;='전체 루브릭'!$C$6,"발달 중",IF(E162&gt;='전체 루브릭'!$C$7,"흔들림","집중 보완")))</x:f>
        <x:v>집중 보완</x:v>
      </x:c>
      <x:c r="G162" s="17" t="str">
        <x:v>장면에서 좋은 일인지 어려운 일인지 먼저 판단한 뒤 감정을 골라 보세요.</x:v>
      </x:c>
      <x:c r="H162" s="17" t="str">
        <x:v>사건과 감정 반응의 연결 또는 감정 어휘 구분에 집중 보완이 필요합니다.</x:v>
      </x:c>
      <x:c r="I162" s="17" t="str">
        <x:v>감정 카드를 긍정/부정으로 나누고 장면 근거와 짝지어 보세요.</x:v>
      </x:c>
    </x:row>
    <x:row r="163" ht="34" customHeight="1">
      <x:c r="A163" s="27" t="str">
        <x:v>Q5</x:v>
      </x:c>
      <x:c r="B163" s="17" t="str">
        <x:v>감정 반응 (Reaction)</x:v>
      </x:c>
      <x:c r="C163" s="17" t="str">
        <x:v>6종 콘텐츠 통합</x:v>
      </x:c>
      <x:c r="D163" s="17" t="str">
        <x:v>emotion_mcq</x:v>
      </x:c>
      <x:c r="E163" s="53" t="n">
        <x:v>15</x:v>
      </x:c>
      <x:c r="F163" s="17" t="str">
        <x:f>IF(E163&gt;='전체 루브릭'!$C$5,"안정",IF(E163&gt;='전체 루브릭'!$C$6,"발달 중",IF(E163&gt;='전체 루브릭'!$C$7,"흔들림","집중 보완")))</x:f>
        <x:v>집중 보완</x:v>
      </x:c>
      <x:c r="G163" s="17" t="str">
        <x:v>장면에서 좋은 일인지 어려운 일인지 먼저 판단한 뒤 감정을 골라 보세요.</x:v>
      </x:c>
      <x:c r="H163" s="17" t="str">
        <x:v>사건과 감정 반응의 연결 또는 감정 어휘 구분에 집중 보완이 필요합니다.</x:v>
      </x:c>
      <x:c r="I163" s="17" t="str">
        <x:v>감정 카드를 긍정/부정으로 나누고 장면 근거와 짝지어 보세요.</x:v>
      </x:c>
    </x:row>
    <x:row r="164" ht="34" customHeight="1">
      <x:c r="A164" s="27" t="str">
        <x:v>Q5</x:v>
      </x:c>
      <x:c r="B164" s="17" t="str">
        <x:v>감정 반응 (Reaction)</x:v>
      </x:c>
      <x:c r="C164" s="17" t="str">
        <x:v>6종 콘텐츠 통합</x:v>
      </x:c>
      <x:c r="D164" s="17" t="str">
        <x:v>emotion_mcq</x:v>
      </x:c>
      <x:c r="E164" s="53" t="n">
        <x:v>20</x:v>
      </x:c>
      <x:c r="F164" s="17" t="str">
        <x:f>IF(E164&gt;='전체 루브릭'!$C$5,"안정",IF(E164&gt;='전체 루브릭'!$C$6,"발달 중",IF(E164&gt;='전체 루브릭'!$C$7,"흔들림","집중 보완")))</x:f>
        <x:v>집중 보완</x:v>
      </x:c>
      <x:c r="G164" s="17" t="str">
        <x:v>장면에서 좋은 일인지 어려운 일인지 먼저 판단한 뒤 감정을 골라 보세요.</x:v>
      </x:c>
      <x:c r="H164" s="17" t="str">
        <x:v>사건과 감정 반응의 연결 또는 감정 어휘 구분에 집중 보완이 필요합니다.</x:v>
      </x:c>
      <x:c r="I164" s="17" t="str">
        <x:v>감정 카드를 긍정/부정으로 나누고 장면 근거와 짝지어 보세요.</x:v>
      </x:c>
    </x:row>
    <x:row r="165" ht="34" customHeight="1">
      <x:c r="A165" s="27" t="str">
        <x:v>Q5</x:v>
      </x:c>
      <x:c r="B165" s="17" t="str">
        <x:v>감정 반응 (Reaction)</x:v>
      </x:c>
      <x:c r="C165" s="17" t="str">
        <x:v>6종 콘텐츠 통합</x:v>
      </x:c>
      <x:c r="D165" s="17" t="str">
        <x:v>emotion_mcq</x:v>
      </x:c>
      <x:c r="E165" s="53" t="n">
        <x:v>30</x:v>
      </x:c>
      <x:c r="F165" s="17" t="str">
        <x:f>IF(E165&gt;='전체 루브릭'!$C$5,"안정",IF(E165&gt;='전체 루브릭'!$C$6,"발달 중",IF(E165&gt;='전체 루브릭'!$C$7,"흔들림","집중 보완")))</x:f>
        <x:v>집중 보완</x:v>
      </x:c>
      <x:c r="G165" s="17" t="str">
        <x:v>장면에서 좋은 일인지 어려운 일인지 먼저 판단한 뒤 감정을 골라 보세요.</x:v>
      </x:c>
      <x:c r="H165" s="17" t="str">
        <x:v>사건과 감정 반응의 연결 또는 감정 어휘 구분에 집중 보완이 필요합니다.</x:v>
      </x:c>
      <x:c r="I165" s="17" t="str">
        <x:v>감정 카드를 긍정/부정으로 나누고 장면 근거와 짝지어 보세요.</x:v>
      </x:c>
    </x:row>
    <x:row r="166" ht="34" customHeight="1">
      <x:c r="A166" s="27" t="str">
        <x:v>Q5</x:v>
      </x:c>
      <x:c r="B166" s="17" t="str">
        <x:v>감정 반응 (Reaction)</x:v>
      </x:c>
      <x:c r="C166" s="17" t="str">
        <x:v>6종 콘텐츠 통합</x:v>
      </x:c>
      <x:c r="D166" s="17" t="str">
        <x:v>emotion_mcq</x:v>
      </x:c>
      <x:c r="E166" s="53" t="n">
        <x:v>35</x:v>
      </x:c>
      <x:c r="F166" s="17" t="str">
        <x:f>IF(E166&gt;='전체 루브릭'!$C$5,"안정",IF(E166&gt;='전체 루브릭'!$C$6,"발달 중",IF(E166&gt;='전체 루브릭'!$C$7,"흔들림","집중 보완")))</x:f>
        <x:v>집중 보완</x:v>
      </x:c>
      <x:c r="G166" s="17" t="str">
        <x:v>장면에서 좋은 일인지 어려운 일인지 먼저 판단한 뒤 감정을 골라 보세요.</x:v>
      </x:c>
      <x:c r="H166" s="17" t="str">
        <x:v>사건과 감정 반응의 연결 또는 감정 어휘 구분에 집중 보완이 필요합니다.</x:v>
      </x:c>
      <x:c r="I166" s="17" t="str">
        <x:v>감정 카드를 긍정/부정으로 나누고 장면 근거와 짝지어 보세요.</x:v>
      </x:c>
    </x:row>
    <x:row r="167" ht="34" customHeight="1">
      <x:c r="A167" s="27" t="str">
        <x:v>Q5</x:v>
      </x:c>
      <x:c r="B167" s="17" t="str">
        <x:v>감정 반응 (Reaction)</x:v>
      </x:c>
      <x:c r="C167" s="17" t="str">
        <x:v>6종 콘텐츠 통합</x:v>
      </x:c>
      <x:c r="D167" s="17" t="str">
        <x:v>emotion_mcq</x:v>
      </x:c>
      <x:c r="E167" s="53" t="n">
        <x:v>40</x:v>
      </x:c>
      <x:c r="F167" s="17" t="str">
        <x:f>IF(E167&gt;='전체 루브릭'!$C$5,"안정",IF(E167&gt;='전체 루브릭'!$C$6,"발달 중",IF(E167&gt;='전체 루브릭'!$C$7,"흔들림","집중 보완")))</x:f>
        <x:v>집중 보완</x:v>
      </x:c>
      <x:c r="G167" s="17" t="str">
        <x:v>장면에서 좋은 일인지 어려운 일인지 먼저 판단한 뒤 감정을 골라 보세요.</x:v>
      </x:c>
      <x:c r="H167" s="17" t="str">
        <x:v>사건과 감정 반응의 연결 또는 감정 어휘 구분에 집중 보완이 필요합니다.</x:v>
      </x:c>
      <x:c r="I167" s="17" t="str">
        <x:v>감정 카드를 긍정/부정으로 나누고 장면 근거와 짝지어 보세요.</x:v>
      </x:c>
    </x:row>
    <x:row r="168" ht="34" customHeight="1">
      <x:c r="A168" s="27" t="str">
        <x:v>Q5</x:v>
      </x:c>
      <x:c r="B168" s="17" t="str">
        <x:v>감정 반응 (Reaction)</x:v>
      </x:c>
      <x:c r="C168" s="17" t="str">
        <x:v>6종 콘텐츠 통합</x:v>
      </x:c>
      <x:c r="D168" s="17" t="str">
        <x:v>emotion_mcq</x:v>
      </x:c>
      <x:c r="E168" s="53" t="n">
        <x:v>100</x:v>
      </x:c>
      <x:c r="F168" s="17" t="str">
        <x:f>IF(E168&gt;='전체 루브릭'!$C$5,"안정",IF(E168&gt;='전체 루브릭'!$C$6,"발달 중",IF(E168&gt;='전체 루브릭'!$C$7,"흔들림","집중 보완")))</x:f>
        <x:v>안정</x:v>
      </x:c>
      <x:c r="G168" s="17" t="str">
        <x:v>장면의 사건과 인물의 감정을 정확히 연결했어요.</x:v>
      </x:c>
      <x:c r="H168" s="17" t="str">
        <x:v>장면 근거를 바탕으로 인물의 감정 반응을 정확히 식별했습니다.</x:v>
      </x:c>
      <x:c r="I168" s="17" t="str">
        <x:v>표정·행동·상황 중 어떤 단서가 감정을 보여주는지 말해 보세요.</x:v>
      </x:c>
    </x:row>
    <x:row r="169" ht="34" customHeight="1">
      <x:c r="A169" s="27" t="str">
        <x:v>Q6</x:v>
      </x:c>
      <x:c r="B169" s="17" t="str">
        <x:v>내적 반응 (Internal Response)</x:v>
      </x:c>
      <x:c r="C169" s="17" t="str">
        <x:v>6종 콘텐츠 통합</x:v>
      </x:c>
      <x:c r="D169" s="17" t="str">
        <x:v>internal_response_mcq</x:v>
      </x:c>
      <x:c r="E169" s="53" t="n">
        <x:v>0</x:v>
      </x:c>
      <x:c r="F169" s="17" t="str">
        <x:f>IF(E169&gt;='전체 루브릭'!$C$5,"안정",IF(E169&gt;='전체 루브릭'!$C$6,"발달 중",IF(E169&gt;='전체 루브릭'!$C$7,"흔들림","집중 보완")))</x:f>
        <x:v>집중 보완</x:v>
      </x:c>
      <x:c r="G169" s="17" t="str">
        <x:v>인물이 한 행동과 그 행동을 한 이유를 이어서 생각해 보세요.</x:v>
      </x:c>
      <x:c r="H169" s="17" t="str">
        <x:v>표면 사건과 인물의 생각·의도·깨달음을 구분하는 데 집중 보완이 필요합니다.</x:v>
      </x:c>
      <x:c r="I169" s="17" t="str">
        <x:v>‘인물은 ___했기 때문에 ___라고 생각했을 것이다’ 문장틀을 사용하세요.</x:v>
      </x:c>
    </x:row>
    <x:row r="170" ht="34" customHeight="1">
      <x:c r="A170" s="27" t="str">
        <x:v>Q6</x:v>
      </x:c>
      <x:c r="B170" s="17" t="str">
        <x:v>내적 반응 (Internal Response)</x:v>
      </x:c>
      <x:c r="C170" s="17" t="str">
        <x:v>6종 콘텐츠 통합</x:v>
      </x:c>
      <x:c r="D170" s="17" t="str">
        <x:v>internal_response_mcq</x:v>
      </x:c>
      <x:c r="E170" s="53" t="n">
        <x:v>10</x:v>
      </x:c>
      <x:c r="F170" s="17" t="str">
        <x:f>IF(E170&gt;='전체 루브릭'!$C$5,"안정",IF(E170&gt;='전체 루브릭'!$C$6,"발달 중",IF(E170&gt;='전체 루브릭'!$C$7,"흔들림","집중 보완")))</x:f>
        <x:v>집중 보완</x:v>
      </x:c>
      <x:c r="G170" s="17" t="str">
        <x:v>인물이 한 행동과 그 행동을 한 이유를 이어서 생각해 보세요.</x:v>
      </x:c>
      <x:c r="H170" s="17" t="str">
        <x:v>표면 사건과 인물의 생각·의도·깨달음을 구분하는 데 집중 보완이 필요합니다.</x:v>
      </x:c>
      <x:c r="I170" s="17" t="str">
        <x:v>‘인물은 ___했기 때문에 ___라고 생각했을 것이다’ 문장틀을 사용하세요.</x:v>
      </x:c>
    </x:row>
    <x:row r="171" ht="34" customHeight="1">
      <x:c r="A171" s="27" t="str">
        <x:v>Q6</x:v>
      </x:c>
      <x:c r="B171" s="17" t="str">
        <x:v>내적 반응 (Internal Response)</x:v>
      </x:c>
      <x:c r="C171" s="17" t="str">
        <x:v>6종 콘텐츠 통합</x:v>
      </x:c>
      <x:c r="D171" s="17" t="str">
        <x:v>internal_response_mcq</x:v>
      </x:c>
      <x:c r="E171" s="53" t="n">
        <x:v>15</x:v>
      </x:c>
      <x:c r="F171" s="17" t="str">
        <x:f>IF(E171&gt;='전체 루브릭'!$C$5,"안정",IF(E171&gt;='전체 루브릭'!$C$6,"발달 중",IF(E171&gt;='전체 루브릭'!$C$7,"흔들림","집중 보완")))</x:f>
        <x:v>집중 보완</x:v>
      </x:c>
      <x:c r="G171" s="17" t="str">
        <x:v>인물이 한 행동과 그 행동을 한 이유를 이어서 생각해 보세요.</x:v>
      </x:c>
      <x:c r="H171" s="17" t="str">
        <x:v>표면 사건과 인물의 생각·의도·깨달음을 구분하는 데 집중 보완이 필요합니다.</x:v>
      </x:c>
      <x:c r="I171" s="17" t="str">
        <x:v>‘인물은 ___했기 때문에 ___라고 생각했을 것이다’ 문장틀을 사용하세요.</x:v>
      </x:c>
    </x:row>
    <x:row r="172" ht="34" customHeight="1">
      <x:c r="A172" s="27" t="str">
        <x:v>Q6</x:v>
      </x:c>
      <x:c r="B172" s="17" t="str">
        <x:v>내적 반응 (Internal Response)</x:v>
      </x:c>
      <x:c r="C172" s="17" t="str">
        <x:v>6종 콘텐츠 통합</x:v>
      </x:c>
      <x:c r="D172" s="17" t="str">
        <x:v>internal_response_mcq</x:v>
      </x:c>
      <x:c r="E172" s="53" t="n">
        <x:v>20</x:v>
      </x:c>
      <x:c r="F172" s="17" t="str">
        <x:f>IF(E172&gt;='전체 루브릭'!$C$5,"안정",IF(E172&gt;='전체 루브릭'!$C$6,"발달 중",IF(E172&gt;='전체 루브릭'!$C$7,"흔들림","집중 보완")))</x:f>
        <x:v>집중 보완</x:v>
      </x:c>
      <x:c r="G172" s="17" t="str">
        <x:v>인물이 한 행동과 그 행동을 한 이유를 이어서 생각해 보세요.</x:v>
      </x:c>
      <x:c r="H172" s="17" t="str">
        <x:v>표면 사건과 인물의 생각·의도·깨달음을 구분하는 데 집중 보완이 필요합니다.</x:v>
      </x:c>
      <x:c r="I172" s="17" t="str">
        <x:v>‘인물은 ___했기 때문에 ___라고 생각했을 것이다’ 문장틀을 사용하세요.</x:v>
      </x:c>
    </x:row>
    <x:row r="173" ht="34" customHeight="1">
      <x:c r="A173" s="27" t="str">
        <x:v>Q6</x:v>
      </x:c>
      <x:c r="B173" s="17" t="str">
        <x:v>내적 반응 (Internal Response)</x:v>
      </x:c>
      <x:c r="C173" s="17" t="str">
        <x:v>6종 콘텐츠 통합</x:v>
      </x:c>
      <x:c r="D173" s="17" t="str">
        <x:v>internal_response_mcq</x:v>
      </x:c>
      <x:c r="E173" s="53" t="n">
        <x:v>25</x:v>
      </x:c>
      <x:c r="F173" s="17" t="str">
        <x:f>IF(E173&gt;='전체 루브릭'!$C$5,"안정",IF(E173&gt;='전체 루브릭'!$C$6,"발달 중",IF(E173&gt;='전체 루브릭'!$C$7,"흔들림","집중 보완")))</x:f>
        <x:v>집중 보완</x:v>
      </x:c>
      <x:c r="G173" s="17" t="str">
        <x:v>인물이 한 행동과 그 행동을 한 이유를 이어서 생각해 보세요.</x:v>
      </x:c>
      <x:c r="H173" s="17" t="str">
        <x:v>표면 사건과 인물의 생각·의도·깨달음을 구분하는 데 집중 보완이 필요합니다.</x:v>
      </x:c>
      <x:c r="I173" s="17" t="str">
        <x:v>‘인물은 ___했기 때문에 ___라고 생각했을 것이다’ 문장틀을 사용하세요.</x:v>
      </x:c>
    </x:row>
    <x:row r="174" ht="34" customHeight="1">
      <x:c r="A174" s="27" t="str">
        <x:v>Q6</x:v>
      </x:c>
      <x:c r="B174" s="17" t="str">
        <x:v>내적 반응 (Internal Response)</x:v>
      </x:c>
      <x:c r="C174" s="17" t="str">
        <x:v>6종 콘텐츠 통합</x:v>
      </x:c>
      <x:c r="D174" s="17" t="str">
        <x:v>internal_response_mcq</x:v>
      </x:c>
      <x:c r="E174" s="53" t="n">
        <x:v>30</x:v>
      </x:c>
      <x:c r="F174" s="17" t="str">
        <x:f>IF(E174&gt;='전체 루브릭'!$C$5,"안정",IF(E174&gt;='전체 루브릭'!$C$6,"발달 중",IF(E174&gt;='전체 루브릭'!$C$7,"흔들림","집중 보완")))</x:f>
        <x:v>집중 보완</x:v>
      </x:c>
      <x:c r="G174" s="17" t="str">
        <x:v>인물이 한 행동과 그 행동을 한 이유를 이어서 생각해 보세요.</x:v>
      </x:c>
      <x:c r="H174" s="17" t="str">
        <x:v>표면 사건과 인물의 생각·의도·깨달음을 구분하는 데 집중 보완이 필요합니다.</x:v>
      </x:c>
      <x:c r="I174" s="17" t="str">
        <x:v>‘인물은 ___했기 때문에 ___라고 생각했을 것이다’ 문장틀을 사용하세요.</x:v>
      </x:c>
    </x:row>
    <x:row r="175" ht="34" customHeight="1">
      <x:c r="A175" s="27" t="str">
        <x:v>Q6</x:v>
      </x:c>
      <x:c r="B175" s="17" t="str">
        <x:v>내적 반응 (Internal Response)</x:v>
      </x:c>
      <x:c r="C175" s="17" t="str">
        <x:v>6종 콘텐츠 통합</x:v>
      </x:c>
      <x:c r="D175" s="17" t="str">
        <x:v>internal_response_mcq</x:v>
      </x:c>
      <x:c r="E175" s="53" t="n">
        <x:v>100</x:v>
      </x:c>
      <x:c r="F175" s="17" t="str">
        <x:f>IF(E175&gt;='전체 루브릭'!$C$5,"안정",IF(E175&gt;='전체 루브릭'!$C$6,"발달 중",IF(E175&gt;='전체 루브릭'!$C$7,"흔들림","집중 보완")))</x:f>
        <x:v>안정</x:v>
      </x:c>
      <x:c r="G175" s="17" t="str">
        <x:v>인물이 속으로 무엇을 생각하고 깨달았는지 정확히 추론했어요.</x:v>
      </x:c>
      <x:c r="H175" s="17" t="str">
        <x:v>장면 근거와 인물의 내적 변화·의도를 안정적으로 연결했습니다.</x:v>
      </x:c>
      <x:c r="I175" s="17" t="str">
        <x:v>그 생각이 다음 행동에 어떤 영향을 주는지 설명해 보세요.</x:v>
      </x:c>
    </x:row>
  </x:sheetData>
  <x:mergeCells>
    <x:mergeCell ref="A1:I1"/>
    <x:mergeCell ref="A2:I2"/>
  </x:mergeCells>
  <x:conditionalFormatting sqref="F5:F175">
    <x:cfRule type="containsText" dxfId="4" priority="1" operator="containsText" text="안정"/>
    <x:cfRule type="containsText" dxfId="5" priority="2" operator="containsText" text="발달 중"/>
    <x:cfRule type="containsText" dxfId="6" priority="3" operator="containsText" text="흔들림"/>
    <x:cfRule type="containsText" dxfId="7" priority="4" operator="containsText" text="집중 보완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9" hidden="0" customWidth="1"/>
    <x:col min="4" max="4" width="24" hidden="0" customWidth="1"/>
    <x:col min="5" max="5" width="9" hidden="0" customWidth="1"/>
    <x:col min="6" max="6" width="34" hidden="0" customWidth="1"/>
    <x:col min="7" max="7" width="9" hidden="0" customWidth="1"/>
    <x:col min="8" max="8" width="9" hidden="0" customWidth="1"/>
    <x:col min="9" max="9" width="45" hidden="0" customWidth="1"/>
    <x:col min="10" max="10" width="50" hidden="0" customWidth="1"/>
    <x:col min="11" max="11" width="50" hidden="0" customWidth="1"/>
  </x:cols>
  <x:sheetData>
    <x:row r="1" ht="34" customHeight="1">
      <x:c r="A1" s="4" t="str">
        <x:v>선택지별 오개념 진단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4" customHeight="1">
      <x:c r="A2" s="8" t="str">
        <x:v>Q3·Q5·Q6은 같은 오답 구간 안에서도 선택지 diagnostic으로 혼동 유형을 구분합니다.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</x:row>
    <x:row r="4" ht="28" customHeight="1">
      <x:c r="A4" s="34" t="str">
        <x:v>콘텐츠</x:v>
      </x:c>
      <x:c r="B4" s="34" t="str">
        <x:v>제목</x:v>
      </x:c>
      <x:c r="C4" s="34" t="str">
        <x:v>문항</x:v>
      </x:c>
      <x:c r="D4" s="34" t="str">
        <x:v>영역</x:v>
      </x:c>
      <x:c r="E4" s="34" t="str">
        <x:v>선택지</x:v>
      </x:c>
      <x:c r="F4" s="34" t="str">
        <x:v>선택지 내용</x:v>
      </x:c>
      <x:c r="G4" s="34" t="str">
        <x:v>점수</x:v>
      </x:c>
      <x:c r="H4" s="34" t="str">
        <x:v>정오</x:v>
      </x:c>
      <x:c r="I4" s="34" t="str">
        <x:v>진단 근거</x:v>
      </x:c>
      <x:c r="J4" s="34" t="str">
        <x:v>학생 피드백</x:v>
      </x:c>
      <x:c r="K4" s="34" t="str">
        <x:v>학부모 피드백</x:v>
      </x:c>
    </x:row>
    <x:row r="5" ht="48" customHeight="1">
      <x:c r="A5" s="16" t="str">
        <x:v>CS0003</x:v>
      </x:c>
      <x:c r="B5" s="16" t="str">
        <x:v>Hans in Luck</x:v>
      </x:c>
      <x:c r="C5" s="16" t="str">
        <x:v>Q3</x:v>
      </x:c>
      <x:c r="D5" s="16" t="str">
        <x:v>사건 시작 (Initiating Event)</x:v>
      </x:c>
      <x:c r="E5" s="16" t="str">
        <x:v>A</x:v>
      </x:c>
      <x:c r="F5" s="16" t="str">
        <x:v>Hans rides the horse.</x:v>
      </x:c>
      <x:c r="G5" s="35" t="n">
        <x:v>25</x:v>
      </x:c>
      <x:c r="H5" s="16" t="str">
        <x:v>오답</x:v>
      </x:c>
      <x:c r="I5" s="16" t="str">
        <x:v>문제 발생 뒤의 이동 장면을 사건 시작으로 혼동합니다.</x:v>
      </x:c>
      <x:c r="J5" s="16" t="str">
        <x:v>선택한 장면이 문제의 시작인지, 그 뒤에 일어난 일인지 다시 비교해 보세요. (문제 발생 뒤의 이동 장면을 사건 시작으로 혼동합니다.)</x:v>
      </x:c>
      <x:c r="K5" s="16" t="str">
        <x:v>선택지 진단: 문제 발생 뒤의 이동 장면을 사건 시작으로 혼동합니다.</x:v>
      </x:c>
    </x:row>
    <x:row r="6" ht="48" customHeight="1">
      <x:c r="A6" s="17" t="str">
        <x:v>CS0003</x:v>
      </x:c>
      <x:c r="B6" s="17" t="str">
        <x:v>Hans in Luck</x:v>
      </x:c>
      <x:c r="C6" s="17" t="str">
        <x:v>Q3</x:v>
      </x:c>
      <x:c r="D6" s="17" t="str">
        <x:v>사건 시작 (Initiating Event)</x:v>
      </x:c>
      <x:c r="E6" s="17" t="str">
        <x:v>B</x:v>
      </x:c>
      <x:c r="F6" s="17" t="str">
        <x:v>The gold is too heavy.</x:v>
      </x:c>
      <x:c r="G6" s="36" t="n">
        <x:v>100</x:v>
      </x:c>
      <x:c r="H6" s="17" t="str">
        <x:v>정답</x:v>
      </x:c>
      <x:c r="I6" s="17" t="str">
        <x:v>핵심 단서와 정답 근거를 정확히 연결함</x:v>
      </x:c>
      <x:c r="J6" s="17" t="str">
        <x:v>문제가 시작되는 장면을 정확히 찾았어요.</x:v>
      </x:c>
      <x:c r="K6" s="17" t="str">
        <x:v>사건을 촉발한 최초 장면을 정확히 식별했습니다.</x:v>
      </x:c>
    </x:row>
    <x:row r="7" ht="48" customHeight="1">
      <x:c r="A7" s="17" t="str">
        <x:v>CS0003</x:v>
      </x:c>
      <x:c r="B7" s="17" t="str">
        <x:v>Hans in Luck</x:v>
      </x:c>
      <x:c r="C7" s="17" t="str">
        <x:v>Q3</x:v>
      </x:c>
      <x:c r="D7" s="17" t="str">
        <x:v>사건 시작 (Initiating Event)</x:v>
      </x:c>
      <x:c r="E7" s="17" t="str">
        <x:v>C</x:v>
      </x:c>
      <x:c r="F7" s="17" t="str">
        <x:v>Hans trades the cow.</x:v>
      </x:c>
      <x:c r="G7" s="36" t="n">
        <x:v>20</x:v>
      </x:c>
      <x:c r="H7" s="17" t="str">
        <x:v>오답</x:v>
      </x:c>
      <x:c r="I7" s="17" t="str">
        <x:v>반복되는 거래 장면을 사건 시작으로 혼동합니다.</x:v>
      </x:c>
      <x:c r="J7" s="17" t="str">
        <x:v>선택한 장면이 문제의 시작인지, 그 뒤에 일어난 일인지 다시 비교해 보세요. (반복되는 거래 장면을 사건 시작으로 혼동합니다.)</x:v>
      </x:c>
      <x:c r="K7" s="17" t="str">
        <x:v>선택지 진단: 반복되는 거래 장면을 사건 시작으로 혼동합니다.</x:v>
      </x:c>
    </x:row>
    <x:row r="8" ht="48" customHeight="1">
      <x:c r="A8" s="17" t="str">
        <x:v>CS0003</x:v>
      </x:c>
      <x:c r="B8" s="17" t="str">
        <x:v>Hans in Luck</x:v>
      </x:c>
      <x:c r="C8" s="17" t="str">
        <x:v>Q3</x:v>
      </x:c>
      <x:c r="D8" s="17" t="str">
        <x:v>사건 시작 (Initiating Event)</x:v>
      </x:c>
      <x:c r="E8" s="17" t="str">
        <x:v>D</x:v>
      </x:c>
      <x:c r="F8" s="17" t="str">
        <x:v>Hans feels free.</x:v>
      </x:c>
      <x:c r="G8" s="36" t="n">
        <x:v>0</x:v>
      </x:c>
      <x:c r="H8" s="17" t="str">
        <x:v>오답</x:v>
      </x:c>
      <x:c r="I8" s="17" t="str">
        <x:v>결말 장면을 사건 시작으로 혼동합니다.</x:v>
      </x:c>
      <x:c r="J8" s="17" t="str">
        <x:v>선택한 장면이 문제의 시작인지, 그 뒤에 일어난 일인지 다시 비교해 보세요. (결말 장면을 사건 시작으로 혼동합니다.)</x:v>
      </x:c>
      <x:c r="K8" s="17" t="str">
        <x:v>선택지 진단: 결말 장면을 사건 시작으로 혼동합니다.</x:v>
      </x:c>
    </x:row>
    <x:row r="9" ht="48" customHeight="1">
      <x:c r="A9" s="17" t="str">
        <x:v>CS0003</x:v>
      </x:c>
      <x:c r="B9" s="17" t="str">
        <x:v>Hans in Luck</x:v>
      </x:c>
      <x:c r="C9" s="17" t="str">
        <x:v>Q5</x:v>
      </x:c>
      <x:c r="D9" s="17" t="str">
        <x:v>감정 반응 (Reaction)</x:v>
      </x:c>
      <x:c r="E9" s="17" t="str">
        <x:v>A</x:v>
      </x:c>
      <x:c r="F9" s="17" t="str">
        <x:v>happy</x:v>
      </x:c>
      <x:c r="G9" s="36" t="n">
        <x:v>20</x:v>
      </x:c>
      <x:c r="H9" s="17" t="str">
        <x:v>오답</x:v>
      </x:c>
      <x:c r="I9" s="17" t="str">
        <x:v>결말의 기쁨을 문제 장면에 적용합니다.</x:v>
      </x:c>
      <x:c r="J9" s="17" t="str">
        <x:v>장면에서 좋은 일인지 어려운 일인지 먼저 판단한 뒤 감정을 골라 보세요. (결말의 기쁨을 문제 장면에 적용합니다.)</x:v>
      </x:c>
      <x:c r="K9" s="17" t="str">
        <x:v>선택지 진단: 결말의 기쁨을 문제 장면에 적용합니다.</x:v>
      </x:c>
    </x:row>
    <x:row r="10" ht="48" customHeight="1">
      <x:c r="A10" s="17" t="str">
        <x:v>CS0003</x:v>
      </x:c>
      <x:c r="B10" s="17" t="str">
        <x:v>Hans in Luck</x:v>
      </x:c>
      <x:c r="C10" s="17" t="str">
        <x:v>Q5</x:v>
      </x:c>
      <x:c r="D10" s="17" t="str">
        <x:v>감정 반응 (Reaction)</x:v>
      </x:c>
      <x:c r="E10" s="17" t="str">
        <x:v>B</x:v>
      </x:c>
      <x:c r="F10" s="17" t="str">
        <x:v>afraid</x:v>
      </x:c>
      <x:c r="G10" s="36" t="n">
        <x:v>100</x:v>
      </x:c>
      <x:c r="H10" s="17" t="str">
        <x:v>정답</x:v>
      </x:c>
      <x:c r="I10" s="17" t="str">
        <x:v>핵심 단서와 정답 근거를 정확히 연결함</x:v>
      </x:c>
      <x:c r="J10" s="17" t="str">
        <x:v>장면의 사건과 인물의 감정을 정확히 연결했어요.</x:v>
      </x:c>
      <x:c r="K10" s="17" t="str">
        <x:v>장면 근거를 바탕으로 인물의 감정 반응을 정확히 식별했습니다.</x:v>
      </x:c>
    </x:row>
    <x:row r="11" ht="48" customHeight="1">
      <x:c r="A11" s="17" t="str">
        <x:v>CS0003</x:v>
      </x:c>
      <x:c r="B11" s="17" t="str">
        <x:v>Hans in Luck</x:v>
      </x:c>
      <x:c r="C11" s="17" t="str">
        <x:v>Q5</x:v>
      </x:c>
      <x:c r="D11" s="17" t="str">
        <x:v>감정 반응 (Reaction)</x:v>
      </x:c>
      <x:c r="E11" s="17" t="str">
        <x:v>C</x:v>
      </x:c>
      <x:c r="F11" s="17" t="str">
        <x:v>angry</x:v>
      </x:c>
      <x:c r="G11" s="36" t="n">
        <x:v>35</x:v>
      </x:c>
      <x:c r="H11" s="17" t="str">
        <x:v>오답</x:v>
      </x:c>
      <x:c r="I11" s="17" t="str">
        <x:v>부정 감정은 파악했으나 두려움과 분노를 혼동합니다.</x:v>
      </x:c>
      <x:c r="J11" s="17" t="str">
        <x:v>장면에서 좋은 일인지 어려운 일인지 먼저 판단한 뒤 감정을 골라 보세요. (부정 감정은 파악했으나 두려움과 분노를 혼동합니다.)</x:v>
      </x:c>
      <x:c r="K11" s="17" t="str">
        <x:v>선택지 진단: 부정 감정은 파악했으나 두려움과 분노를 혼동합니다.</x:v>
      </x:c>
    </x:row>
    <x:row r="12" ht="48" customHeight="1">
      <x:c r="A12" s="17" t="str">
        <x:v>CS0003</x:v>
      </x:c>
      <x:c r="B12" s="17" t="str">
        <x:v>Hans in Luck</x:v>
      </x:c>
      <x:c r="C12" s="17" t="str">
        <x:v>Q5</x:v>
      </x:c>
      <x:c r="D12" s="17" t="str">
        <x:v>감정 반응 (Reaction)</x:v>
      </x:c>
      <x:c r="E12" s="17" t="str">
        <x:v>D</x:v>
      </x:c>
      <x:c r="F12" s="17" t="str">
        <x:v>proud</x:v>
      </x:c>
      <x:c r="G12" s="36" t="n">
        <x:v>0</x:v>
      </x:c>
      <x:c r="H12" s="17" t="str">
        <x:v>오답</x:v>
      </x:c>
      <x:c r="I12" s="17" t="str">
        <x:v>장면의 위험 신호를 놓칩니다.</x:v>
      </x:c>
      <x:c r="J12" s="17" t="str">
        <x:v>장면에서 좋은 일인지 어려운 일인지 먼저 판단한 뒤 감정을 골라 보세요. (장면의 위험 신호를 놓칩니다.)</x:v>
      </x:c>
      <x:c r="K12" s="17" t="str">
        <x:v>선택지 진단: 장면의 위험 신호를 놓칩니다.</x:v>
      </x:c>
    </x:row>
    <x:row r="13" ht="48" customHeight="1">
      <x:c r="A13" s="17" t="str">
        <x:v>CS0003</x:v>
      </x:c>
      <x:c r="B13" s="17" t="str">
        <x:v>Hans in Luck</x:v>
      </x:c>
      <x:c r="C13" s="17" t="str">
        <x:v>Q6</x:v>
      </x:c>
      <x:c r="D13" s="17" t="str">
        <x:v>내적 반응 (Internal Response)</x:v>
      </x:c>
      <x:c r="E13" s="17" t="str">
        <x:v>A</x:v>
      </x:c>
      <x:c r="F13" s="17" t="str">
        <x:v>I am free now.</x:v>
      </x:c>
      <x:c r="G13" s="36" t="n">
        <x:v>100</x:v>
      </x:c>
      <x:c r="H13" s="17" t="str">
        <x:v>정답</x:v>
      </x:c>
      <x:c r="I13" s="17" t="str">
        <x:v>핵심 단서와 정답 근거를 정확히 연결함</x:v>
      </x:c>
      <x:c r="J13" s="17" t="str">
        <x:v>인물이 속으로 무엇을 생각하고 깨달았는지 정확히 추론했어요.</x:v>
      </x:c>
      <x:c r="K13" s="17" t="str">
        <x:v>장면 근거와 인물의 내적 변화·의도를 안정적으로 연결했습니다.</x:v>
      </x:c>
    </x:row>
    <x:row r="14" ht="48" customHeight="1">
      <x:c r="A14" s="17" t="str">
        <x:v>CS0003</x:v>
      </x:c>
      <x:c r="B14" s="17" t="str">
        <x:v>Hans in Luck</x:v>
      </x:c>
      <x:c r="C14" s="17" t="str">
        <x:v>Q6</x:v>
      </x:c>
      <x:c r="D14" s="17" t="str">
        <x:v>내적 반응 (Internal Response)</x:v>
      </x:c>
      <x:c r="E14" s="17" t="str">
        <x:v>B</x:v>
      </x:c>
      <x:c r="F14" s="17" t="str">
        <x:v>I need more gold.</x:v>
      </x:c>
      <x:c r="G14" s="36" t="n">
        <x:v>10</x:v>
      </x:c>
      <x:c r="H14" s="17" t="str">
        <x:v>오답</x:v>
      </x:c>
      <x:c r="I14" s="17" t="str">
        <x:v>초반 목표를 결말의 깨달음으로 혼동합니다.</x:v>
      </x:c>
      <x:c r="J14" s="17" t="str">
        <x:v>인물이 한 행동과 그 행동을 한 이유를 이어서 생각해 보세요. (초반 목표를 결말의 깨달음으로 혼동합니다.)</x:v>
      </x:c>
      <x:c r="K14" s="17" t="str">
        <x:v>선택지 진단: 초반 목표를 결말의 깨달음으로 혼동합니다.</x:v>
      </x:c>
    </x:row>
    <x:row r="15" ht="48" customHeight="1">
      <x:c r="A15" s="17" t="str">
        <x:v>CS0003</x:v>
      </x:c>
      <x:c r="B15" s="17" t="str">
        <x:v>Hans in Luck</x:v>
      </x:c>
      <x:c r="C15" s="17" t="str">
        <x:v>Q6</x:v>
      </x:c>
      <x:c r="D15" s="17" t="str">
        <x:v>내적 반응 (Internal Response)</x:v>
      </x:c>
      <x:c r="E15" s="17" t="str">
        <x:v>C</x:v>
      </x:c>
      <x:c r="F15" s="17" t="str">
        <x:v>I want the horse back.</x:v>
      </x:c>
      <x:c r="G15" s="36" t="n">
        <x:v>20</x:v>
      </x:c>
      <x:c r="H15" s="17" t="str">
        <x:v>오답</x:v>
      </x:c>
      <x:c r="I15" s="17" t="str">
        <x:v>이전 거래 장면에 머무릅니다.</x:v>
      </x:c>
      <x:c r="J15" s="17" t="str">
        <x:v>인물이 한 행동과 그 행동을 한 이유를 이어서 생각해 보세요. (이전 거래 장면에 머무릅니다.)</x:v>
      </x:c>
      <x:c r="K15" s="17" t="str">
        <x:v>선택지 진단: 이전 거래 장면에 머무릅니다.</x:v>
      </x:c>
    </x:row>
    <x:row r="16" ht="48" customHeight="1">
      <x:c r="A16" s="17" t="str">
        <x:v>CS0003</x:v>
      </x:c>
      <x:c r="B16" s="17" t="str">
        <x:v>Hans in Luck</x:v>
      </x:c>
      <x:c r="C16" s="17" t="str">
        <x:v>Q6</x:v>
      </x:c>
      <x:c r="D16" s="17" t="str">
        <x:v>내적 반응 (Internal Response)</x:v>
      </x:c>
      <x:c r="E16" s="17" t="str">
        <x:v>D</x:v>
      </x:c>
      <x:c r="F16" s="17" t="str">
        <x:v>I am in trouble.</x:v>
      </x:c>
      <x:c r="G16" s="36" t="n">
        <x:v>30</x:v>
      </x:c>
      <x:c r="H16" s="17" t="str">
        <x:v>오답</x:v>
      </x:c>
      <x:c r="I16" s="17" t="str">
        <x:v>중간 위기 장면의 생각을 결말에 적용합니다.</x:v>
      </x:c>
      <x:c r="J16" s="17" t="str">
        <x:v>인물이 한 행동과 그 행동을 한 이유를 이어서 생각해 보세요. (중간 위기 장면의 생각을 결말에 적용합니다.)</x:v>
      </x:c>
      <x:c r="K16" s="17" t="str">
        <x:v>선택지 진단: 중간 위기 장면의 생각을 결말에 적용합니다.</x:v>
      </x:c>
    </x:row>
    <x:row r="17" ht="48" customHeight="1">
      <x:c r="A17" s="17" t="str">
        <x:v>CS0006</x:v>
      </x:c>
      <x:c r="B17" s="17" t="str">
        <x:v>The Cat in Boots</x:v>
      </x:c>
      <x:c r="C17" s="17" t="str">
        <x:v>Q3</x:v>
      </x:c>
      <x:c r="D17" s="17" t="str">
        <x:v>사건 시작 (Initiating Event)</x:v>
      </x:c>
      <x:c r="E17" s="17" t="str">
        <x:v>A</x:v>
      </x:c>
      <x:c r="F17" s="17" t="str">
        <x:v>The youngest son gets only a cat.</x:v>
      </x:c>
      <x:c r="G17" s="36" t="n">
        <x:v>100</x:v>
      </x:c>
      <x:c r="H17" s="17" t="str">
        <x:v>정답</x:v>
      </x:c>
      <x:c r="I17" s="17" t="str">
        <x:v>핵심 단서와 정답 근거를 정확히 연결함</x:v>
      </x:c>
      <x:c r="J17" s="17" t="str">
        <x:v>문제가 시작되는 장면을 정확히 찾았어요.</x:v>
      </x:c>
      <x:c r="K17" s="17" t="str">
        <x:v>사건을 촉발한 최초 장면을 정확히 식별했습니다.</x:v>
      </x:c>
    </x:row>
    <x:row r="18" ht="48" customHeight="1">
      <x:c r="A18" s="17" t="str">
        <x:v>CS0006</x:v>
      </x:c>
      <x:c r="B18" s="17" t="str">
        <x:v>The Cat in Boots</x:v>
      </x:c>
      <x:c r="C18" s="17" t="str">
        <x:v>Q3</x:v>
      </x:c>
      <x:c r="D18" s="17" t="str">
        <x:v>사건 시작 (Initiating Event)</x:v>
      </x:c>
      <x:c r="E18" s="17" t="str">
        <x:v>B</x:v>
      </x:c>
      <x:c r="F18" s="17" t="str">
        <x:v>The Cat gives a rabbit to the King.</x:v>
      </x:c>
      <x:c r="G18" s="36" t="n">
        <x:v>20</x:v>
      </x:c>
      <x:c r="H18" s="17" t="str">
        <x:v>오답</x:v>
      </x:c>
      <x:c r="I18" s="17" t="str">
        <x:v>문제 이후의 첫 성과 장면을 사건 시작으로 혼동합니다.</x:v>
      </x:c>
      <x:c r="J18" s="17" t="str">
        <x:v>선택한 장면이 문제의 시작인지, 그 뒤에 일어난 일인지 다시 비교해 보세요. (문제 이후의 첫 성과 장면을 사건 시작으로 혼동합니다.)</x:v>
      </x:c>
      <x:c r="K18" s="17" t="str">
        <x:v>선택지 진단: 문제 이후의 첫 성과 장면을 사건 시작으로 혼동합니다.</x:v>
      </x:c>
    </x:row>
    <x:row r="19" ht="48" customHeight="1">
      <x:c r="A19" s="17" t="str">
        <x:v>CS0006</x:v>
      </x:c>
      <x:c r="B19" s="17" t="str">
        <x:v>The Cat in Boots</x:v>
      </x:c>
      <x:c r="C19" s="17" t="str">
        <x:v>Q3</x:v>
      </x:c>
      <x:c r="D19" s="17" t="str">
        <x:v>사건 시작 (Initiating Event)</x:v>
      </x:c>
      <x:c r="E19" s="17" t="str">
        <x:v>C</x:v>
      </x:c>
      <x:c r="F19" s="17" t="str">
        <x:v>The Cat cries for help.</x:v>
      </x:c>
      <x:c r="G19" s="36" t="n">
        <x:v>25</x:v>
      </x:c>
      <x:c r="H19" s="17" t="str">
        <x:v>오답</x:v>
      </x:c>
      <x:c r="I19" s="17" t="str">
        <x:v>중간 계획 장면을 시작 사건으로 혼동합니다.</x:v>
      </x:c>
      <x:c r="J19" s="17" t="str">
        <x:v>선택한 장면이 문제의 시작인지, 그 뒤에 일어난 일인지 다시 비교해 보세요. (중간 계획 장면을 시작 사건으로 혼동합니다.)</x:v>
      </x:c>
      <x:c r="K19" s="17" t="str">
        <x:v>선택지 진단: 중간 계획 장면을 시작 사건으로 혼동합니다.</x:v>
      </x:c>
    </x:row>
    <x:row r="20" ht="48" customHeight="1">
      <x:c r="A20" s="17" t="str">
        <x:v>CS0006</x:v>
      </x:c>
      <x:c r="B20" s="17" t="str">
        <x:v>The Cat in Boots</x:v>
      </x:c>
      <x:c r="C20" s="17" t="str">
        <x:v>Q3</x:v>
      </x:c>
      <x:c r="D20" s="17" t="str">
        <x:v>사건 시작 (Initiating Event)</x:v>
      </x:c>
      <x:c r="E20" s="17" t="str">
        <x:v>D</x:v>
      </x:c>
      <x:c r="F20" s="17" t="str">
        <x:v>The Cat catches the mouse.</x:v>
      </x:c>
      <x:c r="G20" s="36" t="n">
        <x:v>10</x:v>
      </x:c>
      <x:c r="H20" s="17" t="str">
        <x:v>오답</x:v>
      </x:c>
      <x:c r="I20" s="17" t="str">
        <x:v>해결 장면을 시작 사건으로 혼동합니다.</x:v>
      </x:c>
      <x:c r="J20" s="17" t="str">
        <x:v>선택한 장면이 문제의 시작인지, 그 뒤에 일어난 일인지 다시 비교해 보세요. (해결 장면을 시작 사건으로 혼동합니다.)</x:v>
      </x:c>
      <x:c r="K20" s="17" t="str">
        <x:v>선택지 진단: 해결 장면을 시작 사건으로 혼동합니다.</x:v>
      </x:c>
    </x:row>
    <x:row r="21" ht="48" customHeight="1">
      <x:c r="A21" s="17" t="str">
        <x:v>CS0006</x:v>
      </x:c>
      <x:c r="B21" s="17" t="str">
        <x:v>The Cat in Boots</x:v>
      </x:c>
      <x:c r="C21" s="17" t="str">
        <x:v>Q5</x:v>
      </x:c>
      <x:c r="D21" s="17" t="str">
        <x:v>감정 반응 (Reaction)</x:v>
      </x:c>
      <x:c r="E21" s="17" t="str">
        <x:v>A</x:v>
      </x:c>
      <x:c r="F21" s="17" t="str">
        <x:v>afraid</x:v>
      </x:c>
      <x:c r="G21" s="36" t="n">
        <x:v>100</x:v>
      </x:c>
      <x:c r="H21" s="17" t="str">
        <x:v>정답</x:v>
      </x:c>
      <x:c r="I21" s="17" t="str">
        <x:v>핵심 단서와 정답 근거를 정확히 연결함</x:v>
      </x:c>
      <x:c r="J21" s="17" t="str">
        <x:v>장면의 사건과 인물의 감정을 정확히 연결했어요.</x:v>
      </x:c>
      <x:c r="K21" s="17" t="str">
        <x:v>장면 근거를 바탕으로 인물의 감정 반응을 정확히 식별했습니다.</x:v>
      </x:c>
    </x:row>
    <x:row r="22" ht="48" customHeight="1">
      <x:c r="A22" s="17" t="str">
        <x:v>CS0006</x:v>
      </x:c>
      <x:c r="B22" s="17" t="str">
        <x:v>The Cat in Boots</x:v>
      </x:c>
      <x:c r="C22" s="17" t="str">
        <x:v>Q5</x:v>
      </x:c>
      <x:c r="D22" s="17" t="str">
        <x:v>감정 반응 (Reaction)</x:v>
      </x:c>
      <x:c r="E22" s="17" t="str">
        <x:v>B</x:v>
      </x:c>
      <x:c r="F22" s="17" t="str">
        <x:v>happy</x:v>
      </x:c>
      <x:c r="G22" s="36" t="n">
        <x:v>20</x:v>
      </x:c>
      <x:c r="H22" s="17" t="str">
        <x:v>오답</x:v>
      </x:c>
      <x:c r="I22" s="17" t="str">
        <x:v>장면의 위험보다 성공 결과를 먼저 떠올림</x:v>
      </x:c>
      <x:c r="J22" s="17" t="str">
        <x:v>장면에서 좋은 일인지 어려운 일인지 먼저 판단한 뒤 감정을 골라 보세요. (장면의 위험보다 성공 결과를 먼저 떠올림)</x:v>
      </x:c>
      <x:c r="K22" s="17" t="str">
        <x:v>선택지 진단: 장면의 위험보다 성공 결과를 먼저 떠올림</x:v>
      </x:c>
    </x:row>
    <x:row r="23" ht="48" customHeight="1">
      <x:c r="A23" s="17" t="str">
        <x:v>CS0006</x:v>
      </x:c>
      <x:c r="B23" s="17" t="str">
        <x:v>The Cat in Boots</x:v>
      </x:c>
      <x:c r="C23" s="17" t="str">
        <x:v>Q5</x:v>
      </x:c>
      <x:c r="D23" s="17" t="str">
        <x:v>감정 반응 (Reaction)</x:v>
      </x:c>
      <x:c r="E23" s="17" t="str">
        <x:v>C</x:v>
      </x:c>
      <x:c r="F23" s="17" t="str">
        <x:v>angry</x:v>
      </x:c>
      <x:c r="G23" s="36" t="n">
        <x:v>35</x:v>
      </x:c>
      <x:c r="H23" s="17" t="str">
        <x:v>오답</x:v>
      </x:c>
      <x:c r="I23" s="17" t="str">
        <x:v>긴장감은 파악했으나 감정을 혼동합니다.</x:v>
      </x:c>
      <x:c r="J23" s="17" t="str">
        <x:v>장면에서 좋은 일인지 어려운 일인지 먼저 판단한 뒤 감정을 골라 보세요. (긴장감은 파악했으나 감정을 혼동합니다.)</x:v>
      </x:c>
      <x:c r="K23" s="17" t="str">
        <x:v>선택지 진단: 긴장감은 파악했으나 감정을 혼동합니다.</x:v>
      </x:c>
    </x:row>
    <x:row r="24" ht="48" customHeight="1">
      <x:c r="A24" s="17" t="str">
        <x:v>CS0006</x:v>
      </x:c>
      <x:c r="B24" s="17" t="str">
        <x:v>The Cat in Boots</x:v>
      </x:c>
      <x:c r="C24" s="17" t="str">
        <x:v>Q5</x:v>
      </x:c>
      <x:c r="D24" s="17" t="str">
        <x:v>감정 반응 (Reaction)</x:v>
      </x:c>
      <x:c r="E24" s="17" t="str">
        <x:v>D</x:v>
      </x:c>
      <x:c r="F24" s="17" t="str">
        <x:v>bored</x:v>
      </x:c>
      <x:c r="G24" s="36" t="n">
        <x:v>0</x:v>
      </x:c>
      <x:c r="H24" s="17" t="str">
        <x:v>오답</x:v>
      </x:c>
      <x:c r="I24" s="17" t="str">
        <x:v>장면의 긴박함을 놓칩니다.</x:v>
      </x:c>
      <x:c r="J24" s="17" t="str">
        <x:v>장면에서 좋은 일인지 어려운 일인지 먼저 판단한 뒤 감정을 골라 보세요. (장면의 긴박함을 놓칩니다.)</x:v>
      </x:c>
      <x:c r="K24" s="17" t="str">
        <x:v>선택지 진단: 장면의 긴박함을 놓칩니다.</x:v>
      </x:c>
    </x:row>
    <x:row r="25" ht="48" customHeight="1">
      <x:c r="A25" s="17" t="str">
        <x:v>CS0006</x:v>
      </x:c>
      <x:c r="B25" s="17" t="str">
        <x:v>The Cat in Boots</x:v>
      </x:c>
      <x:c r="C25" s="17" t="str">
        <x:v>Q6</x:v>
      </x:c>
      <x:c r="D25" s="17" t="str">
        <x:v>내적 반응 (Internal Response)</x:v>
      </x:c>
      <x:c r="E25" s="17" t="str">
        <x:v>A</x:v>
      </x:c>
      <x:c r="F25" s="17" t="str">
        <x:v>I can trick the Giant.</x:v>
      </x:c>
      <x:c r="G25" s="36" t="n">
        <x:v>100</x:v>
      </x:c>
      <x:c r="H25" s="17" t="str">
        <x:v>정답</x:v>
      </x:c>
      <x:c r="I25" s="17" t="str">
        <x:v>핵심 단서와 정답 근거를 정확히 연결함</x:v>
      </x:c>
      <x:c r="J25" s="17" t="str">
        <x:v>인물이 속으로 무엇을 생각하고 깨달았는지 정확히 추론했어요.</x:v>
      </x:c>
      <x:c r="K25" s="17" t="str">
        <x:v>장면 근거와 인물의 내적 변화·의도를 안정적으로 연결했습니다.</x:v>
      </x:c>
    </x:row>
    <x:row r="26" ht="48" customHeight="1">
      <x:c r="A26" s="17" t="str">
        <x:v>CS0006</x:v>
      </x:c>
      <x:c r="B26" s="17" t="str">
        <x:v>The Cat in Boots</x:v>
      </x:c>
      <x:c r="C26" s="17" t="str">
        <x:v>Q6</x:v>
      </x:c>
      <x:c r="D26" s="17" t="str">
        <x:v>내적 반응 (Internal Response)</x:v>
      </x:c>
      <x:c r="E26" s="17" t="str">
        <x:v>B</x:v>
      </x:c>
      <x:c r="F26" s="17" t="str">
        <x:v>I should run away now.</x:v>
      </x:c>
      <x:c r="G26" s="36" t="n">
        <x:v>30</x:v>
      </x:c>
      <x:c r="H26" s="17" t="str">
        <x:v>오답</x:v>
      </x:c>
      <x:c r="I26" s="17" t="str">
        <x:v>두려움 반응과 다음 계획을 혼동합니다.</x:v>
      </x:c>
      <x:c r="J26" s="17" t="str">
        <x:v>인물이 한 행동과 그 행동을 한 이유를 이어서 생각해 보세요. (두려움 반응과 다음 계획을 혼동합니다.)</x:v>
      </x:c>
      <x:c r="K26" s="17" t="str">
        <x:v>선택지 진단: 두려움 반응과 다음 계획을 혼동합니다.</x:v>
      </x:c>
    </x:row>
    <x:row r="27" ht="48" customHeight="1">
      <x:c r="A27" s="17" t="str">
        <x:v>CS0006</x:v>
      </x:c>
      <x:c r="B27" s="17" t="str">
        <x:v>The Cat in Boots</x:v>
      </x:c>
      <x:c r="C27" s="17" t="str">
        <x:v>Q6</x:v>
      </x:c>
      <x:c r="D27" s="17" t="str">
        <x:v>내적 반응 (Internal Response)</x:v>
      </x:c>
      <x:c r="E27" s="17" t="str">
        <x:v>C</x:v>
      </x:c>
      <x:c r="F27" s="17" t="str">
        <x:v>I want to give the King a rabbit.</x:v>
      </x:c>
      <x:c r="G27" s="36" t="n">
        <x:v>15</x:v>
      </x:c>
      <x:c r="H27" s="17" t="str">
        <x:v>오답</x:v>
      </x:c>
      <x:c r="I27" s="17" t="str">
        <x:v>초반 행동을 후반 생각으로 혼동합니다.</x:v>
      </x:c>
      <x:c r="J27" s="17" t="str">
        <x:v>인물이 한 행동과 그 행동을 한 이유를 이어서 생각해 보세요. (초반 행동을 후반 생각으로 혼동합니다.)</x:v>
      </x:c>
      <x:c r="K27" s="17" t="str">
        <x:v>선택지 진단: 초반 행동을 후반 생각으로 혼동합니다.</x:v>
      </x:c>
    </x:row>
    <x:row r="28" ht="48" customHeight="1">
      <x:c r="A28" s="17" t="str">
        <x:v>CS0006</x:v>
      </x:c>
      <x:c r="B28" s="17" t="str">
        <x:v>The Cat in Boots</x:v>
      </x:c>
      <x:c r="C28" s="17" t="str">
        <x:v>Q6</x:v>
      </x:c>
      <x:c r="D28" s="17" t="str">
        <x:v>내적 반응 (Internal Response)</x:v>
      </x:c>
      <x:c r="E28" s="17" t="str">
        <x:v>D</x:v>
      </x:c>
      <x:c r="F28" s="17" t="str">
        <x:v>The castle is too small.</x:v>
      </x:c>
      <x:c r="G28" s="36" t="n">
        <x:v>0</x:v>
      </x:c>
      <x:c r="H28" s="17" t="str">
        <x:v>오답</x:v>
      </x:c>
      <x:c r="I28" s="17" t="str">
        <x:v>이야기와 무관한 생각을 선택합니다.</x:v>
      </x:c>
      <x:c r="J28" s="17" t="str">
        <x:v>인물이 한 행동과 그 행동을 한 이유를 이어서 생각해 보세요. (이야기와 무관한 생각을 선택합니다.)</x:v>
      </x:c>
      <x:c r="K28" s="17" t="str">
        <x:v>선택지 진단: 이야기와 무관한 생각을 선택합니다.</x:v>
      </x:c>
    </x:row>
    <x:row r="29" ht="48" customHeight="1">
      <x:c r="A29" s="17" t="str">
        <x:v>OG0005</x:v>
      </x:c>
      <x:c r="B29" s="17" t="str">
        <x:v>The Rainbow Cloud in the Box</x:v>
      </x:c>
      <x:c r="C29" s="17" t="str">
        <x:v>Q3</x:v>
      </x:c>
      <x:c r="D29" s="17" t="str">
        <x:v>사건 시작 (Initiating Event)</x:v>
      </x:c>
      <x:c r="E29" s="17" t="str">
        <x:v>A</x:v>
      </x:c>
      <x:c r="F29" s="17" t="str">
        <x:v>Podo and Didi watch the sky.</x:v>
      </x:c>
      <x:c r="G29" s="36" t="n">
        <x:v>30</x:v>
      </x:c>
      <x:c r="H29" s="17" t="str">
        <x:v>오답</x:v>
      </x:c>
      <x:c r="I29" s="17" t="str">
        <x:v>배경 장면을 사건 시작으로 혼동합니다.</x:v>
      </x:c>
      <x:c r="J29" s="17" t="str">
        <x:v>선택한 장면이 문제의 시작인지, 그 뒤에 일어난 일인지 다시 비교해 보세요. (배경 장면을 사건 시작으로 혼동합니다.)</x:v>
      </x:c>
      <x:c r="K29" s="17" t="str">
        <x:v>선택지 진단: 배경 장면을 사건 시작으로 혼동합니다.</x:v>
      </x:c>
    </x:row>
    <x:row r="30" ht="48" customHeight="1">
      <x:c r="A30" s="17" t="str">
        <x:v>OG0005</x:v>
      </x:c>
      <x:c r="B30" s="17" t="str">
        <x:v>The Rainbow Cloud in the Box</x:v>
      </x:c>
      <x:c r="C30" s="17" t="str">
        <x:v>Q3</x:v>
      </x:c>
      <x:c r="D30" s="17" t="str">
        <x:v>사건 시작 (Initiating Event)</x:v>
      </x:c>
      <x:c r="E30" s="17" t="str">
        <x:v>B</x:v>
      </x:c>
      <x:c r="F30" s="17" t="str">
        <x:v>Didi wants to capture the cloud.</x:v>
      </x:c>
      <x:c r="G30" s="36" t="n">
        <x:v>100</x:v>
      </x:c>
      <x:c r="H30" s="17" t="str">
        <x:v>정답</x:v>
      </x:c>
      <x:c r="I30" s="17" t="str">
        <x:v>핵심 단서와 정답 근거를 정확히 연결함</x:v>
      </x:c>
      <x:c r="J30" s="17" t="str">
        <x:v>문제가 시작되는 장면을 정확히 찾았어요.</x:v>
      </x:c>
      <x:c r="K30" s="17" t="str">
        <x:v>사건을 촉발한 최초 장면을 정확히 식별했습니다.</x:v>
      </x:c>
    </x:row>
    <x:row r="31" ht="48" customHeight="1">
      <x:c r="A31" s="17" t="str">
        <x:v>OG0005</x:v>
      </x:c>
      <x:c r="B31" s="17" t="str">
        <x:v>The Rainbow Cloud in the Box</x:v>
      </x:c>
      <x:c r="C31" s="17" t="str">
        <x:v>Q3</x:v>
      </x:c>
      <x:c r="D31" s="17" t="str">
        <x:v>사건 시작 (Initiating Event)</x:v>
      </x:c>
      <x:c r="E31" s="17" t="str">
        <x:v>C</x:v>
      </x:c>
      <x:c r="F31" s="17" t="str">
        <x:v>The cloud turns gray.</x:v>
      </x:c>
      <x:c r="G31" s="36" t="n">
        <x:v>20</x:v>
      </x:c>
      <x:c r="H31" s="17" t="str">
        <x:v>오답</x:v>
      </x:c>
      <x:c r="I31" s="17" t="str">
        <x:v>문제의 시작이 아니라 결과 장면을 선택합니다.</x:v>
      </x:c>
      <x:c r="J31" s="17" t="str">
        <x:v>선택한 장면이 문제의 시작인지, 그 뒤에 일어난 일인지 다시 비교해 보세요. (문제의 시작이 아니라 결과 장면을 선택합니다.)</x:v>
      </x:c>
      <x:c r="K31" s="17" t="str">
        <x:v>선택지 진단: 문제의 시작이 아니라 결과 장면을 선택합니다.</x:v>
      </x:c>
    </x:row>
    <x:row r="32" ht="48" customHeight="1">
      <x:c r="A32" s="17" t="str">
        <x:v>OG0005</x:v>
      </x:c>
      <x:c r="B32" s="17" t="str">
        <x:v>The Rainbow Cloud in the Box</x:v>
      </x:c>
      <x:c r="C32" s="17" t="str">
        <x:v>Q3</x:v>
      </x:c>
      <x:c r="D32" s="17" t="str">
        <x:v>사건 시작 (Initiating Event)</x:v>
      </x:c>
      <x:c r="E32" s="17" t="str">
        <x:v>D</x:v>
      </x:c>
      <x:c r="F32" s="17" t="str">
        <x:v>The cloud comes back to life.</x:v>
      </x:c>
      <x:c r="G32" s="36" t="n">
        <x:v>0</x:v>
      </x:c>
      <x:c r="H32" s="17" t="str">
        <x:v>오답</x:v>
      </x:c>
      <x:c r="I32" s="17" t="str">
        <x:v>해결 장면을 발단으로 혼동합니다.</x:v>
      </x:c>
      <x:c r="J32" s="17" t="str">
        <x:v>선택한 장면이 문제의 시작인지, 그 뒤에 일어난 일인지 다시 비교해 보세요. (해결 장면을 발단으로 혼동합니다.)</x:v>
      </x:c>
      <x:c r="K32" s="17" t="str">
        <x:v>선택지 진단: 해결 장면을 발단으로 혼동합니다.</x:v>
      </x:c>
    </x:row>
    <x:row r="33" ht="48" customHeight="1">
      <x:c r="A33" s="17" t="str">
        <x:v>OG0005</x:v>
      </x:c>
      <x:c r="B33" s="17" t="str">
        <x:v>The Rainbow Cloud in the Box</x:v>
      </x:c>
      <x:c r="C33" s="17" t="str">
        <x:v>Q5</x:v>
      </x:c>
      <x:c r="D33" s="17" t="str">
        <x:v>감정 반응 (Reaction)</x:v>
      </x:c>
      <x:c r="E33" s="17" t="str">
        <x:v>A</x:v>
      </x:c>
      <x:c r="F33" s="17" t="str">
        <x:v>disappointed</x:v>
      </x:c>
      <x:c r="G33" s="36" t="n">
        <x:v>100</x:v>
      </x:c>
      <x:c r="H33" s="17" t="str">
        <x:v>정답</x:v>
      </x:c>
      <x:c r="I33" s="17" t="str">
        <x:v>핵심 단서와 정답 근거를 정확히 연결함</x:v>
      </x:c>
      <x:c r="J33" s="17" t="str">
        <x:v>장면의 사건과 인물의 감정을 정확히 연결했어요.</x:v>
      </x:c>
      <x:c r="K33" s="17" t="str">
        <x:v>장면 근거를 바탕으로 인물의 감정 반응을 정확히 식별했습니다.</x:v>
      </x:c>
    </x:row>
    <x:row r="34" ht="48" customHeight="1">
      <x:c r="A34" s="17" t="str">
        <x:v>OG0005</x:v>
      </x:c>
      <x:c r="B34" s="17" t="str">
        <x:v>The Rainbow Cloud in the Box</x:v>
      </x:c>
      <x:c r="C34" s="17" t="str">
        <x:v>Q5</x:v>
      </x:c>
      <x:c r="D34" s="17" t="str">
        <x:v>감정 반응 (Reaction)</x:v>
      </x:c>
      <x:c r="E34" s="17" t="str">
        <x:v>B</x:v>
      </x:c>
      <x:c r="F34" s="17" t="str">
        <x:v>proud</x:v>
      </x:c>
      <x:c r="G34" s="36" t="n">
        <x:v>20</x:v>
      </x:c>
      <x:c r="H34" s="17" t="str">
        <x:v>오답</x:v>
      </x:c>
      <x:c r="I34" s="17" t="str">
        <x:v>포획 직후 감정을 문제 장면에 적용합니다.</x:v>
      </x:c>
      <x:c r="J34" s="17" t="str">
        <x:v>장면에서 좋은 일인지 어려운 일인지 먼저 판단한 뒤 감정을 골라 보세요. (포획 직후 감정을 문제 장면에 적용합니다.)</x:v>
      </x:c>
      <x:c r="K34" s="17" t="str">
        <x:v>선택지 진단: 포획 직후 감정을 문제 장면에 적용합니다.</x:v>
      </x:c>
    </x:row>
    <x:row r="35" ht="48" customHeight="1">
      <x:c r="A35" s="17" t="str">
        <x:v>OG0005</x:v>
      </x:c>
      <x:c r="B35" s="17" t="str">
        <x:v>The Rainbow Cloud in the Box</x:v>
      </x:c>
      <x:c r="C35" s="17" t="str">
        <x:v>Q5</x:v>
      </x:c>
      <x:c r="D35" s="17" t="str">
        <x:v>감정 반응 (Reaction)</x:v>
      </x:c>
      <x:c r="E35" s="17" t="str">
        <x:v>C</x:v>
      </x:c>
      <x:c r="F35" s="17" t="str">
        <x:v>angry</x:v>
      </x:c>
      <x:c r="G35" s="36" t="n">
        <x:v>40</x:v>
      </x:c>
      <x:c r="H35" s="17" t="str">
        <x:v>오답</x:v>
      </x:c>
      <x:c r="I35" s="17" t="str">
        <x:v>부정 감정은 파악했으나 실망과 분노를 혼동합니다.</x:v>
      </x:c>
      <x:c r="J35" s="17" t="str">
        <x:v>장면에서 좋은 일인지 어려운 일인지 먼저 판단한 뒤 감정을 골라 보세요. (부정 감정은 파악했으나 실망과 분노를 혼동합니다.)</x:v>
      </x:c>
      <x:c r="K35" s="17" t="str">
        <x:v>선택지 진단: 부정 감정은 파악했으나 실망과 분노를 혼동합니다.</x:v>
      </x:c>
    </x:row>
    <x:row r="36" ht="48" customHeight="1">
      <x:c r="A36" s="17" t="str">
        <x:v>OG0005</x:v>
      </x:c>
      <x:c r="B36" s="17" t="str">
        <x:v>The Rainbow Cloud in the Box</x:v>
      </x:c>
      <x:c r="C36" s="17" t="str">
        <x:v>Q5</x:v>
      </x:c>
      <x:c r="D36" s="17" t="str">
        <x:v>감정 반응 (Reaction)</x:v>
      </x:c>
      <x:c r="E36" s="17" t="str">
        <x:v>D</x:v>
      </x:c>
      <x:c r="F36" s="17" t="str">
        <x:v>sleepy</x:v>
      </x:c>
      <x:c r="G36" s="36" t="n">
        <x:v>0</x:v>
      </x:c>
      <x:c r="H36" s="17" t="str">
        <x:v>오답</x:v>
      </x:c>
      <x:c r="I36" s="17" t="str">
        <x:v>장면의 문제 상황을 놓칩니다.</x:v>
      </x:c>
      <x:c r="J36" s="17" t="str">
        <x:v>장면에서 좋은 일인지 어려운 일인지 먼저 판단한 뒤 감정을 골라 보세요. (장면의 문제 상황을 놓칩니다.)</x:v>
      </x:c>
      <x:c r="K36" s="17" t="str">
        <x:v>선택지 진단: 장면의 문제 상황을 놓칩니다.</x:v>
      </x:c>
    </x:row>
    <x:row r="37" ht="48" customHeight="1">
      <x:c r="A37" s="17" t="str">
        <x:v>OG0005</x:v>
      </x:c>
      <x:c r="B37" s="17" t="str">
        <x:v>The Rainbow Cloud in the Box</x:v>
      </x:c>
      <x:c r="C37" s="17" t="str">
        <x:v>Q6</x:v>
      </x:c>
      <x:c r="D37" s="17" t="str">
        <x:v>내적 반응 (Internal Response)</x:v>
      </x:c>
      <x:c r="E37" s="17" t="str">
        <x:v>A</x:v>
      </x:c>
      <x:c r="F37" s="17" t="str">
        <x:v>I made a mistake.</x:v>
      </x:c>
      <x:c r="G37" s="36" t="n">
        <x:v>100</x:v>
      </x:c>
      <x:c r="H37" s="17" t="str">
        <x:v>정답</x:v>
      </x:c>
      <x:c r="I37" s="17" t="str">
        <x:v>핵심 단서와 정답 근거를 정확히 연결함</x:v>
      </x:c>
      <x:c r="J37" s="17" t="str">
        <x:v>인물이 속으로 무엇을 생각하고 깨달았는지 정확히 추론했어요.</x:v>
      </x:c>
      <x:c r="K37" s="17" t="str">
        <x:v>장면 근거와 인물의 내적 변화·의도를 안정적으로 연결했습니다.</x:v>
      </x:c>
    </x:row>
    <x:row r="38" ht="48" customHeight="1">
      <x:c r="A38" s="17" t="str">
        <x:v>OG0005</x:v>
      </x:c>
      <x:c r="B38" s="17" t="str">
        <x:v>The Rainbow Cloud in the Box</x:v>
      </x:c>
      <x:c r="C38" s="17" t="str">
        <x:v>Q6</x:v>
      </x:c>
      <x:c r="D38" s="17" t="str">
        <x:v>내적 반응 (Internal Response)</x:v>
      </x:c>
      <x:c r="E38" s="17" t="str">
        <x:v>B</x:v>
      </x:c>
      <x:c r="F38" s="17" t="str">
        <x:v>I need a bigger box.</x:v>
      </x:c>
      <x:c r="G38" s="36" t="n">
        <x:v>20</x:v>
      </x:c>
      <x:c r="H38" s="17" t="str">
        <x:v>오답</x:v>
      </x:c>
      <x:c r="I38" s="17" t="str">
        <x:v>문제의 원인을 소유가 아닌 도구로 오해합니다.</x:v>
      </x:c>
      <x:c r="J38" s="17" t="str">
        <x:v>인물이 한 행동과 그 행동을 한 이유를 이어서 생각해 보세요. (문제의 원인을 소유가 아닌 도구로 오해합니다.)</x:v>
      </x:c>
      <x:c r="K38" s="17" t="str">
        <x:v>선택지 진단: 문제의 원인을 소유가 아닌 도구로 오해합니다.</x:v>
      </x:c>
    </x:row>
    <x:row r="39" ht="48" customHeight="1">
      <x:c r="A39" s="17" t="str">
        <x:v>OG0005</x:v>
      </x:c>
      <x:c r="B39" s="17" t="str">
        <x:v>The Rainbow Cloud in the Box</x:v>
      </x:c>
      <x:c r="C39" s="17" t="str">
        <x:v>Q6</x:v>
      </x:c>
      <x:c r="D39" s="17" t="str">
        <x:v>내적 반응 (Internal Response)</x:v>
      </x:c>
      <x:c r="E39" s="17" t="str">
        <x:v>C</x:v>
      </x:c>
      <x:c r="F39" s="17" t="str">
        <x:v>The cloud is mine forever.</x:v>
      </x:c>
      <x:c r="G39" s="36" t="n">
        <x:v>0</x:v>
      </x:c>
      <x:c r="H39" s="17" t="str">
        <x:v>오답</x:v>
      </x:c>
      <x:c r="I39" s="17" t="str">
        <x:v>인물의 깨달음과 반대되는 생각을 선택합니다.</x:v>
      </x:c>
      <x:c r="J39" s="17" t="str">
        <x:v>인물이 한 행동과 그 행동을 한 이유를 이어서 생각해 보세요. (인물의 깨달음과 반대되는 생각을 선택합니다.)</x:v>
      </x:c>
      <x:c r="K39" s="17" t="str">
        <x:v>선택지 진단: 인물의 깨달음과 반대되는 생각을 선택합니다.</x:v>
      </x:c>
    </x:row>
    <x:row r="40" ht="48" customHeight="1">
      <x:c r="A40" s="17" t="str">
        <x:v>OG0005</x:v>
      </x:c>
      <x:c r="B40" s="17" t="str">
        <x:v>The Rainbow Cloud in the Box</x:v>
      </x:c>
      <x:c r="C40" s="17" t="str">
        <x:v>Q6</x:v>
      </x:c>
      <x:c r="D40" s="17" t="str">
        <x:v>내적 반응 (Internal Response)</x:v>
      </x:c>
      <x:c r="E40" s="17" t="str">
        <x:v>D</x:v>
      </x:c>
      <x:c r="F40" s="17" t="str">
        <x:v>Podo should go away.</x:v>
      </x:c>
      <x:c r="G40" s="36" t="n">
        <x:v>10</x:v>
      </x:c>
      <x:c r="H40" s="17" t="str">
        <x:v>오답</x:v>
      </x:c>
      <x:c r="I40" s="17" t="str">
        <x:v>친구의 조언을 내면 변화와 연결하지 못합니다.</x:v>
      </x:c>
      <x:c r="J40" s="17" t="str">
        <x:v>인물이 한 행동과 그 행동을 한 이유를 이어서 생각해 보세요. (친구의 조언을 내면 변화와 연결하지 못합니다.)</x:v>
      </x:c>
      <x:c r="K40" s="17" t="str">
        <x:v>선택지 진단: 친구의 조언을 내면 변화와 연결하지 못합니다.</x:v>
      </x:c>
    </x:row>
    <x:row r="41" ht="48" customHeight="1">
      <x:c r="A41" s="17" t="str">
        <x:v>OG0021</x:v>
      </x:c>
      <x:c r="B41" s="17" t="str">
        <x:v>Milo and the Lost Color</x:v>
      </x:c>
      <x:c r="C41" s="17" t="str">
        <x:v>Q3</x:v>
      </x:c>
      <x:c r="D41" s="17" t="str">
        <x:v>사건 시작 (Initiating Event)</x:v>
      </x:c>
      <x:c r="E41" s="17" t="str">
        <x:v>A</x:v>
      </x:c>
      <x:c r="F41" s="17" t="str">
        <x:v>Milo wakes up gray.</x:v>
      </x:c>
      <x:c r="G41" s="36" t="n">
        <x:v>100</x:v>
      </x:c>
      <x:c r="H41" s="17" t="str">
        <x:v>정답</x:v>
      </x:c>
      <x:c r="I41" s="17" t="str">
        <x:v>핵심 단서와 정답 근거를 정확히 연결함</x:v>
      </x:c>
      <x:c r="J41" s="17" t="str">
        <x:v>문제가 시작되는 장면을 정확히 찾았어요.</x:v>
      </x:c>
      <x:c r="K41" s="17" t="str">
        <x:v>사건을 촉발한 최초 장면을 정확히 식별했습니다.</x:v>
      </x:c>
    </x:row>
    <x:row r="42" ht="48" customHeight="1">
      <x:c r="A42" s="17" t="str">
        <x:v>OG0021</x:v>
      </x:c>
      <x:c r="B42" s="17" t="str">
        <x:v>Milo and the Lost Color</x:v>
      </x:c>
      <x:c r="C42" s="17" t="str">
        <x:v>Q3</x:v>
      </x:c>
      <x:c r="D42" s="17" t="str">
        <x:v>사건 시작 (Initiating Event)</x:v>
      </x:c>
      <x:c r="E42" s="17" t="str">
        <x:v>B</x:v>
      </x:c>
      <x:c r="F42" s="17" t="str">
        <x:v>The butterfly keeps its color.</x:v>
      </x:c>
      <x:c r="G42" s="36" t="n">
        <x:v>30</x:v>
      </x:c>
      <x:c r="H42" s="17" t="str">
        <x:v>오답</x:v>
      </x:c>
      <x:c r="I42" s="17" t="str">
        <x:v>문제의 시작이 아니라 첫 만남 장면을 선택합니다.</x:v>
      </x:c>
      <x:c r="J42" s="17" t="str">
        <x:v>선택한 장면이 문제의 시작인지, 그 뒤에 일어난 일인지 다시 비교해 보세요. (문제의 시작이 아니라 첫 만남 장면을 선택합니다.)</x:v>
      </x:c>
      <x:c r="K42" s="17" t="str">
        <x:v>선택지 진단: 문제의 시작이 아니라 첫 만남 장면을 선택합니다.</x:v>
      </x:c>
    </x:row>
    <x:row r="43" ht="48" customHeight="1">
      <x:c r="A43" s="17" t="str">
        <x:v>OG0021</x:v>
      </x:c>
      <x:c r="B43" s="17" t="str">
        <x:v>Milo and the Lost Color</x:v>
      </x:c>
      <x:c r="C43" s="17" t="str">
        <x:v>Q3</x:v>
      </x:c>
      <x:c r="D43" s="17" t="str">
        <x:v>사건 시작 (Initiating Event)</x:v>
      </x:c>
      <x:c r="E43" s="17" t="str">
        <x:v>C</x:v>
      </x:c>
      <x:c r="F43" s="17" t="str">
        <x:v>The pond shines.</x:v>
      </x:c>
      <x:c r="G43" s="36" t="n">
        <x:v>20</x:v>
      </x:c>
      <x:c r="H43" s="17" t="str">
        <x:v>오답</x:v>
      </x:c>
      <x:c r="I43" s="17" t="str">
        <x:v>해결의 실마리 장면을 사건 시작으로 혼동합니다.</x:v>
      </x:c>
      <x:c r="J43" s="17" t="str">
        <x:v>선택한 장면이 문제의 시작인지, 그 뒤에 일어난 일인지 다시 비교해 보세요. (해결의 실마리 장면을 사건 시작으로 혼동합니다.)</x:v>
      </x:c>
      <x:c r="K43" s="17" t="str">
        <x:v>선택지 진단: 해결의 실마리 장면을 사건 시작으로 혼동합니다.</x:v>
      </x:c>
    </x:row>
    <x:row r="44" ht="48" customHeight="1">
      <x:c r="A44" s="17" t="str">
        <x:v>OG0021</x:v>
      </x:c>
      <x:c r="B44" s="17" t="str">
        <x:v>Milo and the Lost Color</x:v>
      </x:c>
      <x:c r="C44" s="17" t="str">
        <x:v>Q3</x:v>
      </x:c>
      <x:c r="D44" s="17" t="str">
        <x:v>사건 시작 (Initiating Event)</x:v>
      </x:c>
      <x:c r="E44" s="17" t="str">
        <x:v>D</x:v>
      </x:c>
      <x:c r="F44" s="17" t="str">
        <x:v>Milo looks in the mirror.</x:v>
      </x:c>
      <x:c r="G44" s="36" t="n">
        <x:v>0</x:v>
      </x:c>
      <x:c r="H44" s="17" t="str">
        <x:v>오답</x:v>
      </x:c>
      <x:c r="I44" s="17" t="str">
        <x:v>결말 장면을 사건 시작으로 혼동합니다.</x:v>
      </x:c>
      <x:c r="J44" s="17" t="str">
        <x:v>선택한 장면이 문제의 시작인지, 그 뒤에 일어난 일인지 다시 비교해 보세요. (결말 장면을 사건 시작으로 혼동합니다.)</x:v>
      </x:c>
      <x:c r="K44" s="17" t="str">
        <x:v>선택지 진단: 결말 장면을 사건 시작으로 혼동합니다.</x:v>
      </x:c>
    </x:row>
    <x:row r="45" ht="48" customHeight="1">
      <x:c r="A45" s="17" t="str">
        <x:v>OG0021</x:v>
      </x:c>
      <x:c r="B45" s="17" t="str">
        <x:v>Milo and the Lost Color</x:v>
      </x:c>
      <x:c r="C45" s="17" t="str">
        <x:v>Q5</x:v>
      </x:c>
      <x:c r="D45" s="17" t="str">
        <x:v>감정 반응 (Reaction)</x:v>
      </x:c>
      <x:c r="E45" s="17" t="str">
        <x:v>A</x:v>
      </x:c>
      <x:c r="F45" s="17" t="str">
        <x:v>sad</x:v>
      </x:c>
      <x:c r="G45" s="36" t="n">
        <x:v>100</x:v>
      </x:c>
      <x:c r="H45" s="17" t="str">
        <x:v>정답</x:v>
      </x:c>
      <x:c r="I45" s="17" t="str">
        <x:v>핵심 단서와 정답 근거를 정확히 연결함</x:v>
      </x:c>
      <x:c r="J45" s="17" t="str">
        <x:v>장면의 사건과 인물의 감정을 정확히 연결했어요.</x:v>
      </x:c>
      <x:c r="K45" s="17" t="str">
        <x:v>장면 근거를 바탕으로 인물의 감정 반응을 정확히 식별했습니다.</x:v>
      </x:c>
    </x:row>
    <x:row r="46" ht="48" customHeight="1">
      <x:c r="A46" s="17" t="str">
        <x:v>OG0021</x:v>
      </x:c>
      <x:c r="B46" s="17" t="str">
        <x:v>Milo and the Lost Color</x:v>
      </x:c>
      <x:c r="C46" s="17" t="str">
        <x:v>Q5</x:v>
      </x:c>
      <x:c r="D46" s="17" t="str">
        <x:v>감정 반응 (Reaction)</x:v>
      </x:c>
      <x:c r="E46" s="17" t="str">
        <x:v>B</x:v>
      </x:c>
      <x:c r="F46" s="17" t="str">
        <x:v>happy</x:v>
      </x:c>
      <x:c r="G46" s="36" t="n">
        <x:v>0</x:v>
      </x:c>
      <x:c r="H46" s="17" t="str">
        <x:v>오답</x:v>
      </x:c>
      <x:c r="I46" s="17" t="str">
        <x:v>해결 이후 감정을 슬픈 장면에 적용합니다.</x:v>
      </x:c>
      <x:c r="J46" s="17" t="str">
        <x:v>장면에서 좋은 일인지 어려운 일인지 먼저 판단한 뒤 감정을 골라 보세요. (해결 이후 감정을 슬픈 장면에 적용합니다.)</x:v>
      </x:c>
      <x:c r="K46" s="17" t="str">
        <x:v>선택지 진단: 해결 이후 감정을 슬픈 장면에 적용합니다.</x:v>
      </x:c>
    </x:row>
    <x:row r="47" ht="48" customHeight="1">
      <x:c r="A47" s="17" t="str">
        <x:v>OG0021</x:v>
      </x:c>
      <x:c r="B47" s="17" t="str">
        <x:v>Milo and the Lost Color</x:v>
      </x:c>
      <x:c r="C47" s="17" t="str">
        <x:v>Q5</x:v>
      </x:c>
      <x:c r="D47" s="17" t="str">
        <x:v>감정 반응 (Reaction)</x:v>
      </x:c>
      <x:c r="E47" s="17" t="str">
        <x:v>C</x:v>
      </x:c>
      <x:c r="F47" s="17" t="str">
        <x:v>angry</x:v>
      </x:c>
      <x:c r="G47" s="36" t="n">
        <x:v>40</x:v>
      </x:c>
      <x:c r="H47" s="17" t="str">
        <x:v>오답</x:v>
      </x:c>
      <x:c r="I47" s="17" t="str">
        <x:v>부정 감정은 파악했지만 슬픔과 분노를 혼동합니다.</x:v>
      </x:c>
      <x:c r="J47" s="17" t="str">
        <x:v>장면에서 좋은 일인지 어려운 일인지 먼저 판단한 뒤 감정을 골라 보세요. (부정 감정은 파악했지만 슬픔과 분노를 혼동합니다.)</x:v>
      </x:c>
      <x:c r="K47" s="17" t="str">
        <x:v>선택지 진단: 부정 감정은 파악했지만 슬픔과 분노를 혼동합니다.</x:v>
      </x:c>
    </x:row>
    <x:row r="48" ht="48" customHeight="1">
      <x:c r="A48" s="17" t="str">
        <x:v>OG0021</x:v>
      </x:c>
      <x:c r="B48" s="17" t="str">
        <x:v>Milo and the Lost Color</x:v>
      </x:c>
      <x:c r="C48" s="17" t="str">
        <x:v>Q5</x:v>
      </x:c>
      <x:c r="D48" s="17" t="str">
        <x:v>감정 반응 (Reaction)</x:v>
      </x:c>
      <x:c r="E48" s="17" t="str">
        <x:v>D</x:v>
      </x:c>
      <x:c r="F48" s="17" t="str">
        <x:v>proud</x:v>
      </x:c>
      <x:c r="G48" s="36" t="n">
        <x:v>10</x:v>
      </x:c>
      <x:c r="H48" s="17" t="str">
        <x:v>오답</x:v>
      </x:c>
      <x:c r="I48" s="17" t="str">
        <x:v>결말의 자신감을 현재 감정으로 혼동합니다.</x:v>
      </x:c>
      <x:c r="J48" s="17" t="str">
        <x:v>장면에서 좋은 일인지 어려운 일인지 먼저 판단한 뒤 감정을 골라 보세요. (결말의 자신감을 현재 감정으로 혼동합니다.)</x:v>
      </x:c>
      <x:c r="K48" s="17" t="str">
        <x:v>선택지 진단: 결말의 자신감을 현재 감정으로 혼동합니다.</x:v>
      </x:c>
    </x:row>
    <x:row r="49" ht="48" customHeight="1">
      <x:c r="A49" s="17" t="str">
        <x:v>OG0021</x:v>
      </x:c>
      <x:c r="B49" s="17" t="str">
        <x:v>Milo and the Lost Color</x:v>
      </x:c>
      <x:c r="C49" s="17" t="str">
        <x:v>Q6</x:v>
      </x:c>
      <x:c r="D49" s="17" t="str">
        <x:v>내적 반응 (Internal Response)</x:v>
      </x:c>
      <x:c r="E49" s="17" t="str">
        <x:v>A</x:v>
      </x:c>
      <x:c r="F49" s="17" t="str">
        <x:v>Maybe my color is inside me!</x:v>
      </x:c>
      <x:c r="G49" s="36" t="n">
        <x:v>100</x:v>
      </x:c>
      <x:c r="H49" s="17" t="str">
        <x:v>정답</x:v>
      </x:c>
      <x:c r="I49" s="17" t="str">
        <x:v>핵심 단서와 정답 근거를 정확히 연결함</x:v>
      </x:c>
      <x:c r="J49" s="17" t="str">
        <x:v>인물이 속으로 무엇을 생각하고 깨달았는지 정확히 추론했어요.</x:v>
      </x:c>
      <x:c r="K49" s="17" t="str">
        <x:v>장면 근거와 인물의 내적 변화·의도를 안정적으로 연결했습니다.</x:v>
      </x:c>
    </x:row>
    <x:row r="50" ht="48" customHeight="1">
      <x:c r="A50" s="17" t="str">
        <x:v>OG0021</x:v>
      </x:c>
      <x:c r="B50" s="17" t="str">
        <x:v>Milo and the Lost Color</x:v>
      </x:c>
      <x:c r="C50" s="17" t="str">
        <x:v>Q6</x:v>
      </x:c>
      <x:c r="D50" s="17" t="str">
        <x:v>내적 반응 (Internal Response)</x:v>
      </x:c>
      <x:c r="E50" s="17" t="str">
        <x:v>B</x:v>
      </x:c>
      <x:c r="F50" s="17" t="str">
        <x:v>I need the butterfly's color.</x:v>
      </x:c>
      <x:c r="G50" s="36" t="n">
        <x:v>25</x:v>
      </x:c>
      <x:c r="H50" s="17" t="str">
        <x:v>오답</x:v>
      </x:c>
      <x:c r="I50" s="17" t="str">
        <x:v>외부에서 색을 얻으려는 초반 생각에 머무릅니다.</x:v>
      </x:c>
      <x:c r="J50" s="17" t="str">
        <x:v>인물이 한 행동과 그 행동을 한 이유를 이어서 생각해 보세요. (외부에서 색을 얻으려는 초반 생각에 머무릅니다.)</x:v>
      </x:c>
      <x:c r="K50" s="17" t="str">
        <x:v>선택지 진단: 외부에서 색을 얻으려는 초반 생각에 머무릅니다.</x:v>
      </x:c>
    </x:row>
    <x:row r="51" ht="48" customHeight="1">
      <x:c r="A51" s="17" t="str">
        <x:v>OG0021</x:v>
      </x:c>
      <x:c r="B51" s="17" t="str">
        <x:v>Milo and the Lost Color</x:v>
      </x:c>
      <x:c r="C51" s="17" t="str">
        <x:v>Q6</x:v>
      </x:c>
      <x:c r="D51" s="17" t="str">
        <x:v>내적 반응 (Internal Response)</x:v>
      </x:c>
      <x:c r="E51" s="17" t="str">
        <x:v>C</x:v>
      </x:c>
      <x:c r="F51" s="17" t="str">
        <x:v>I should stop looking.</x:v>
      </x:c>
      <x:c r="G51" s="36" t="n">
        <x:v>20</x:v>
      </x:c>
      <x:c r="H51" s="17" t="str">
        <x:v>오답</x:v>
      </x:c>
      <x:c r="I51" s="17" t="str">
        <x:v>슬픈 반응과 깨달음을 혼동합니다.</x:v>
      </x:c>
      <x:c r="J51" s="17" t="str">
        <x:v>인물이 한 행동과 그 행동을 한 이유를 이어서 생각해 보세요. (슬픈 반응과 깨달음을 혼동합니다.)</x:v>
      </x:c>
      <x:c r="K51" s="17" t="str">
        <x:v>선택지 진단: 슬픈 반응과 깨달음을 혼동합니다.</x:v>
      </x:c>
    </x:row>
    <x:row r="52" ht="48" customHeight="1">
      <x:c r="A52" s="17" t="str">
        <x:v>OG0021</x:v>
      </x:c>
      <x:c r="B52" s="17" t="str">
        <x:v>Milo and the Lost Color</x:v>
      </x:c>
      <x:c r="C52" s="17" t="str">
        <x:v>Q6</x:v>
      </x:c>
      <x:c r="D52" s="17" t="str">
        <x:v>내적 반응 (Internal Response)</x:v>
      </x:c>
      <x:c r="E52" s="17" t="str">
        <x:v>D</x:v>
      </x:c>
      <x:c r="F52" s="17" t="str">
        <x:v>The pond is my home.</x:v>
      </x:c>
      <x:c r="G52" s="36" t="n">
        <x:v>0</x:v>
      </x:c>
      <x:c r="H52" s="17" t="str">
        <x:v>오답</x:v>
      </x:c>
      <x:c r="I52" s="17" t="str">
        <x:v>장면의 배경 단서를 내적 깨달음으로 오해합니다.</x:v>
      </x:c>
      <x:c r="J52" s="17" t="str">
        <x:v>인물이 한 행동과 그 행동을 한 이유를 이어서 생각해 보세요. (장면의 배경 단서를 내적 깨달음으로 오해합니다.)</x:v>
      </x:c>
      <x:c r="K52" s="17" t="str">
        <x:v>선택지 진단: 장면의 배경 단서를 내적 깨달음으로 오해합니다.</x:v>
      </x:c>
    </x:row>
    <x:row r="53" ht="48" customHeight="1">
      <x:c r="A53" s="17" t="str">
        <x:v>OG0036</x:v>
      </x:c>
      <x:c r="B53" s="17" t="str">
        <x:v>The Secret of Judy's Silver Racket</x:v>
      </x:c>
      <x:c r="C53" s="17" t="str">
        <x:v>Q3</x:v>
      </x:c>
      <x:c r="D53" s="17" t="str">
        <x:v>사건 시작 (Initiating Event)</x:v>
      </x:c>
      <x:c r="E53" s="17" t="str">
        <x:v>A</x:v>
      </x:c>
      <x:c r="F53" s="17" t="str">
        <x:v>Judy loses because of fear.</x:v>
      </x:c>
      <x:c r="G53" s="36" t="n">
        <x:v>100</x:v>
      </x:c>
      <x:c r="H53" s="17" t="str">
        <x:v>정답</x:v>
      </x:c>
      <x:c r="I53" s="17" t="str">
        <x:v>핵심 단서와 정답 근거를 정확히 연결함</x:v>
      </x:c>
      <x:c r="J53" s="17" t="str">
        <x:v>문제가 시작되는 장면을 정확히 찾았어요.</x:v>
      </x:c>
      <x:c r="K53" s="17" t="str">
        <x:v>사건을 촉발한 최초 장면을 정확히 식별했습니다.</x:v>
      </x:c>
    </x:row>
    <x:row r="54" ht="48" customHeight="1">
      <x:c r="A54" s="17" t="str">
        <x:v>OG0036</x:v>
      </x:c>
      <x:c r="B54" s="17" t="str">
        <x:v>The Secret of Judy's Silver Racket</x:v>
      </x:c>
      <x:c r="C54" s="17" t="str">
        <x:v>Q3</x:v>
      </x:c>
      <x:c r="D54" s="17" t="str">
        <x:v>사건 시작 (Initiating Event)</x:v>
      </x:c>
      <x:c r="E54" s="17" t="str">
        <x:v>B</x:v>
      </x:c>
      <x:c r="F54" s="17" t="str">
        <x:v>Judy gets a silver racket.</x:v>
      </x:c>
      <x:c r="G54" s="36" t="n">
        <x:v>35</x:v>
      </x:c>
      <x:c r="H54" s="17" t="str">
        <x:v>오답</x:v>
      </x:c>
      <x:c r="I54" s="17" t="str">
        <x:v>문제 해결 도구의 등장을 문제의 시작으로 혼동합니다.</x:v>
      </x:c>
      <x:c r="J54" s="17" t="str">
        <x:v>선택한 장면이 문제의 시작인지, 그 뒤에 일어난 일인지 다시 비교해 보세요. (문제 해결 도구의 등장을 문제의 시작으로 혼동합니다.)</x:v>
      </x:c>
      <x:c r="K54" s="17" t="str">
        <x:v>선택지 진단: 문제 해결 도구의 등장을 문제의 시작으로 혼동합니다.</x:v>
      </x:c>
    </x:row>
    <x:row r="55" ht="48" customHeight="1">
      <x:c r="A55" s="17" t="str">
        <x:v>OG0036</x:v>
      </x:c>
      <x:c r="B55" s="17" t="str">
        <x:v>The Secret of Judy's Silver Racket</x:v>
      </x:c>
      <x:c r="C55" s="17" t="str">
        <x:v>Q3</x:v>
      </x:c>
      <x:c r="D55" s="17" t="str">
        <x:v>사건 시작 (Initiating Event)</x:v>
      </x:c>
      <x:c r="E55" s="17" t="str">
        <x:v>C</x:v>
      </x:c>
      <x:c r="F55" s="17" t="str">
        <x:v>The racket breaks.</x:v>
      </x:c>
      <x:c r="G55" s="36" t="n">
        <x:v>25</x:v>
      </x:c>
      <x:c r="H55" s="17" t="str">
        <x:v>오답</x:v>
      </x:c>
      <x:c r="I55" s="17" t="str">
        <x:v>중간 위기를 처음 문제로 혼동합니다.</x:v>
      </x:c>
      <x:c r="J55" s="17" t="str">
        <x:v>선택한 장면이 문제의 시작인지, 그 뒤에 일어난 일인지 다시 비교해 보세요. (중간 위기를 처음 문제로 혼동합니다.)</x:v>
      </x:c>
      <x:c r="K55" s="17" t="str">
        <x:v>선택지 진단: 중간 위기를 처음 문제로 혼동합니다.</x:v>
      </x:c>
    </x:row>
    <x:row r="56" ht="48" customHeight="1">
      <x:c r="A56" s="17" t="str">
        <x:v>OG0036</x:v>
      </x:c>
      <x:c r="B56" s="17" t="str">
        <x:v>The Secret of Judy's Silver Racket</x:v>
      </x:c>
      <x:c r="C56" s="17" t="str">
        <x:v>Q3</x:v>
      </x:c>
      <x:c r="D56" s="17" t="str">
        <x:v>사건 시작 (Initiating Event)</x:v>
      </x:c>
      <x:c r="E56" s="17" t="str">
        <x:v>D</x:v>
      </x:c>
      <x:c r="F56" s="17" t="str">
        <x:v>Judy finds confidence.</x:v>
      </x:c>
      <x:c r="G56" s="36" t="n">
        <x:v>0</x:v>
      </x:c>
      <x:c r="H56" s="17" t="str">
        <x:v>오답</x:v>
      </x:c>
      <x:c r="I56" s="17" t="str">
        <x:v>결말 장면을 사건 시작으로 혼동합니다.</x:v>
      </x:c>
      <x:c r="J56" s="17" t="str">
        <x:v>선택한 장면이 문제의 시작인지, 그 뒤에 일어난 일인지 다시 비교해 보세요. (결말 장면을 사건 시작으로 혼동합니다.)</x:v>
      </x:c>
      <x:c r="K56" s="17" t="str">
        <x:v>선택지 진단: 결말 장면을 사건 시작으로 혼동합니다.</x:v>
      </x:c>
    </x:row>
    <x:row r="57" ht="48" customHeight="1">
      <x:c r="A57" s="17" t="str">
        <x:v>OG0036</x:v>
      </x:c>
      <x:c r="B57" s="17" t="str">
        <x:v>The Secret of Judy's Silver Racket</x:v>
      </x:c>
      <x:c r="C57" s="17" t="str">
        <x:v>Q5</x:v>
      </x:c>
      <x:c r="D57" s="17" t="str">
        <x:v>감정 반응 (Reaction)</x:v>
      </x:c>
      <x:c r="E57" s="17" t="str">
        <x:v>A</x:v>
      </x:c>
      <x:c r="F57" s="17" t="str">
        <x:v>scared</x:v>
      </x:c>
      <x:c r="G57" s="36" t="n">
        <x:v>100</x:v>
      </x:c>
      <x:c r="H57" s="17" t="str">
        <x:v>정답</x:v>
      </x:c>
      <x:c r="I57" s="17" t="str">
        <x:v>핵심 단서와 정답 근거를 정확히 연결함</x:v>
      </x:c>
      <x:c r="J57" s="17" t="str">
        <x:v>장면의 사건과 인물의 감정을 정확히 연결했어요.</x:v>
      </x:c>
      <x:c r="K57" s="17" t="str">
        <x:v>장면 근거를 바탕으로 인물의 감정 반응을 정확히 식별했습니다.</x:v>
      </x:c>
    </x:row>
    <x:row r="58" ht="48" customHeight="1">
      <x:c r="A58" s="17" t="str">
        <x:v>OG0036</x:v>
      </x:c>
      <x:c r="B58" s="17" t="str">
        <x:v>The Secret of Judy's Silver Racket</x:v>
      </x:c>
      <x:c r="C58" s="17" t="str">
        <x:v>Q5</x:v>
      </x:c>
      <x:c r="D58" s="17" t="str">
        <x:v>감정 반응 (Reaction)</x:v>
      </x:c>
      <x:c r="E58" s="17" t="str">
        <x:v>B</x:v>
      </x:c>
      <x:c r="F58" s="17" t="str">
        <x:v>happy</x:v>
      </x:c>
      <x:c r="G58" s="36" t="n">
        <x:v>0</x:v>
      </x:c>
      <x:c r="H58" s="17" t="str">
        <x:v>오답</x:v>
      </x:c>
      <x:c r="I58" s="17" t="str">
        <x:v>초반 승리 감정을 위기 장면에 적용합니다.</x:v>
      </x:c>
      <x:c r="J58" s="17" t="str">
        <x:v>장면에서 좋은 일인지 어려운 일인지 먼저 판단한 뒤 감정을 골라 보세요. (초반 승리 감정을 위기 장면에 적용합니다.)</x:v>
      </x:c>
      <x:c r="K58" s="17" t="str">
        <x:v>선택지 진단: 초반 승리 감정을 위기 장면에 적용합니다.</x:v>
      </x:c>
    </x:row>
    <x:row r="59" ht="48" customHeight="1">
      <x:c r="A59" s="17" t="str">
        <x:v>OG0036</x:v>
      </x:c>
      <x:c r="B59" s="17" t="str">
        <x:v>The Secret of Judy's Silver Racket</x:v>
      </x:c>
      <x:c r="C59" s="17" t="str">
        <x:v>Q5</x:v>
      </x:c>
      <x:c r="D59" s="17" t="str">
        <x:v>감정 반응 (Reaction)</x:v>
      </x:c>
      <x:c r="E59" s="17" t="str">
        <x:v>C</x:v>
      </x:c>
      <x:c r="F59" s="17" t="str">
        <x:v>angry</x:v>
      </x:c>
      <x:c r="G59" s="36" t="n">
        <x:v>35</x:v>
      </x:c>
      <x:c r="H59" s="17" t="str">
        <x:v>오답</x:v>
      </x:c>
      <x:c r="I59" s="17" t="str">
        <x:v>부정 감정은 파악했지만 두려움과 분노를 혼동합니다.</x:v>
      </x:c>
      <x:c r="J59" s="17" t="str">
        <x:v>장면에서 좋은 일인지 어려운 일인지 먼저 판단한 뒤 감정을 골라 보세요. (부정 감정은 파악했지만 두려움과 분노를 혼동합니다.)</x:v>
      </x:c>
      <x:c r="K59" s="17" t="str">
        <x:v>선택지 진단: 부정 감정은 파악했지만 두려움과 분노를 혼동합니다.</x:v>
      </x:c>
    </x:row>
    <x:row r="60" ht="48" customHeight="1">
      <x:c r="A60" s="17" t="str">
        <x:v>OG0036</x:v>
      </x:c>
      <x:c r="B60" s="17" t="str">
        <x:v>The Secret of Judy's Silver Racket</x:v>
      </x:c>
      <x:c r="C60" s="17" t="str">
        <x:v>Q5</x:v>
      </x:c>
      <x:c r="D60" s="17" t="str">
        <x:v>감정 반응 (Reaction)</x:v>
      </x:c>
      <x:c r="E60" s="17" t="str">
        <x:v>D</x:v>
      </x:c>
      <x:c r="F60" s="17" t="str">
        <x:v>proud</x:v>
      </x:c>
      <x:c r="G60" s="36" t="n">
        <x:v>15</x:v>
      </x:c>
      <x:c r="H60" s="17" t="str">
        <x:v>오답</x:v>
      </x:c>
      <x:c r="I60" s="17" t="str">
        <x:v>결말의 자신감을 위기 장면에 투영합니다.</x:v>
      </x:c>
      <x:c r="J60" s="17" t="str">
        <x:v>장면에서 좋은 일인지 어려운 일인지 먼저 판단한 뒤 감정을 골라 보세요. (결말의 자신감을 위기 장면에 투영합니다.)</x:v>
      </x:c>
      <x:c r="K60" s="17" t="str">
        <x:v>선택지 진단: 결말의 자신감을 위기 장면에 투영합니다.</x:v>
      </x:c>
    </x:row>
    <x:row r="61" ht="48" customHeight="1">
      <x:c r="A61" s="17" t="str">
        <x:v>OG0036</x:v>
      </x:c>
      <x:c r="B61" s="17" t="str">
        <x:v>The Secret of Judy's Silver Racket</x:v>
      </x:c>
      <x:c r="C61" s="17" t="str">
        <x:v>Q6</x:v>
      </x:c>
      <x:c r="D61" s="17" t="str">
        <x:v>내적 반응 (Internal Response)</x:v>
      </x:c>
      <x:c r="E61" s="17" t="str">
        <x:v>A</x:v>
      </x:c>
      <x:c r="F61" s="17" t="str">
        <x:v>The whispers came from Judy herself.</x:v>
      </x:c>
      <x:c r="G61" s="36" t="n">
        <x:v>100</x:v>
      </x:c>
      <x:c r="H61" s="17" t="str">
        <x:v>정답</x:v>
      </x:c>
      <x:c r="I61" s="17" t="str">
        <x:v>핵심 단서와 정답 근거를 정확히 연결함</x:v>
      </x:c>
      <x:c r="J61" s="17" t="str">
        <x:v>인물이 속으로 무엇을 생각하고 깨달았는지 정확히 추론했어요.</x:v>
      </x:c>
      <x:c r="K61" s="17" t="str">
        <x:v>장면 근거와 인물의 내적 변화·의도를 안정적으로 연결했습니다.</x:v>
      </x:c>
    </x:row>
    <x:row r="62" ht="48" customHeight="1">
      <x:c r="A62" s="17" t="str">
        <x:v>OG0036</x:v>
      </x:c>
      <x:c r="B62" s="17" t="str">
        <x:v>The Secret of Judy's Silver Racket</x:v>
      </x:c>
      <x:c r="C62" s="17" t="str">
        <x:v>Q6</x:v>
      </x:c>
      <x:c r="D62" s="17" t="str">
        <x:v>내적 반응 (Internal Response)</x:v>
      </x:c>
      <x:c r="E62" s="17" t="str">
        <x:v>B</x:v>
      </x:c>
      <x:c r="F62" s="17" t="str">
        <x:v>The silver racket is magic.</x:v>
      </x:c>
      <x:c r="G62" s="36" t="n">
        <x:v>20</x:v>
      </x:c>
      <x:c r="H62" s="17" t="str">
        <x:v>오답</x:v>
      </x:c>
      <x:c r="I62" s="17" t="str">
        <x:v>겉으로 보이는 도구를 내적 능력보다 우선합니다.</x:v>
      </x:c>
      <x:c r="J62" s="17" t="str">
        <x:v>인물이 한 행동과 그 행동을 한 이유를 이어서 생각해 보세요. (겉으로 보이는 도구를 내적 능력보다 우선합니다.)</x:v>
      </x:c>
      <x:c r="K62" s="17" t="str">
        <x:v>선택지 진단: 겉으로 보이는 도구를 내적 능력보다 우선합니다.</x:v>
      </x:c>
    </x:row>
    <x:row r="63" ht="48" customHeight="1">
      <x:c r="A63" s="17" t="str">
        <x:v>OG0036</x:v>
      </x:c>
      <x:c r="B63" s="17" t="str">
        <x:v>The Secret of Judy's Silver Racket</x:v>
      </x:c>
      <x:c r="C63" s="17" t="str">
        <x:v>Q6</x:v>
      </x:c>
      <x:c r="D63" s="17" t="str">
        <x:v>내적 반응 (Internal Response)</x:v>
      </x:c>
      <x:c r="E63" s="17" t="str">
        <x:v>C</x:v>
      </x:c>
      <x:c r="F63" s="17" t="str">
        <x:v>Bella is too strong.</x:v>
      </x:c>
      <x:c r="G63" s="36" t="n">
        <x:v>25</x:v>
      </x:c>
      <x:c r="H63" s="17" t="str">
        <x:v>오답</x:v>
      </x:c>
      <x:c r="I63" s="17" t="str">
        <x:v>상대 선수에 대한 부담과 깨달음을 혼동합니다.</x:v>
      </x:c>
      <x:c r="J63" s="17" t="str">
        <x:v>인물이 한 행동과 그 행동을 한 이유를 이어서 생각해 보세요. (상대 선수에 대한 부담과 깨달음을 혼동합니다.)</x:v>
      </x:c>
      <x:c r="K63" s="17" t="str">
        <x:v>선택지 진단: 상대 선수에 대한 부담과 깨달음을 혼동합니다.</x:v>
      </x:c>
    </x:row>
    <x:row r="64" ht="48" customHeight="1">
      <x:c r="A64" s="17" t="str">
        <x:v>OG0036</x:v>
      </x:c>
      <x:c r="B64" s="17" t="str">
        <x:v>The Secret of Judy's Silver Racket</x:v>
      </x:c>
      <x:c r="C64" s="17" t="str">
        <x:v>Q6</x:v>
      </x:c>
      <x:c r="D64" s="17" t="str">
        <x:v>내적 반응 (Internal Response)</x:v>
      </x:c>
      <x:c r="E64" s="17" t="str">
        <x:v>D</x:v>
      </x:c>
      <x:c r="F64" s="17" t="str">
        <x:v>She should stop playing.</x:v>
      </x:c>
      <x:c r="G64" s="36" t="n">
        <x:v>0</x:v>
      </x:c>
      <x:c r="H64" s="17" t="str">
        <x:v>오답</x:v>
      </x:c>
      <x:c r="I64" s="17" t="str">
        <x:v>포기 반응을 내적 성장으로 오해합니다.</x:v>
      </x:c>
      <x:c r="J64" s="17" t="str">
        <x:v>인물이 한 행동과 그 행동을 한 이유를 이어서 생각해 보세요. (포기 반응을 내적 성장으로 오해합니다.)</x:v>
      </x:c>
      <x:c r="K64" s="17" t="str">
        <x:v>선택지 진단: 포기 반응을 내적 성장으로 오해합니다.</x:v>
      </x:c>
    </x:row>
    <x:row r="65" ht="48" customHeight="1">
      <x:c r="A65" s="17" t="str">
        <x:v>OG0049</x:v>
      </x:c>
      <x:c r="B65" s="17" t="str">
        <x:v>The Mystery of the Deep: The Lost Light</x:v>
      </x:c>
      <x:c r="C65" s="17" t="str">
        <x:v>Q3</x:v>
      </x:c>
      <x:c r="D65" s="17" t="str">
        <x:v>사건 시작 (Initiating Event)</x:v>
      </x:c>
      <x:c r="E65" s="17" t="str">
        <x:v>A</x:v>
      </x:c>
      <x:c r="F65" s="17" t="str">
        <x:v>Kira sees a tiny golden light.</x:v>
      </x:c>
      <x:c r="G65" s="36" t="n">
        <x:v>30</x:v>
      </x:c>
      <x:c r="H65" s="17" t="str">
        <x:v>오답</x:v>
      </x:c>
      <x:c r="I65" s="17" t="str">
        <x:v>문제의 단서와 문제 자체를 혼동합니다.</x:v>
      </x:c>
      <x:c r="J65" s="17" t="str">
        <x:v>선택한 장면이 문제의 시작인지, 그 뒤에 일어난 일인지 다시 비교해 보세요. (문제의 단서와 문제 자체를 혼동합니다.)</x:v>
      </x:c>
      <x:c r="K65" s="17" t="str">
        <x:v>선택지 진단: 문제의 단서와 문제 자체를 혼동합니다.</x:v>
      </x:c>
    </x:row>
    <x:row r="66" ht="48" customHeight="1">
      <x:c r="A66" s="17" t="str">
        <x:v>OG0049</x:v>
      </x:c>
      <x:c r="B66" s="17" t="str">
        <x:v>The Mystery of the Deep: The Lost Light</x:v>
      </x:c>
      <x:c r="C66" s="17" t="str">
        <x:v>Q3</x:v>
      </x:c>
      <x:c r="D66" s="17" t="str">
        <x:v>사건 시작 (Initiating Event)</x:v>
      </x:c>
      <x:c r="E66" s="17" t="str">
        <x:v>B</x:v>
      </x:c>
      <x:c r="F66" s="17" t="str">
        <x:v>A plastic bag covers the fish.</x:v>
      </x:c>
      <x:c r="G66" s="36" t="n">
        <x:v>100</x:v>
      </x:c>
      <x:c r="H66" s="17" t="str">
        <x:v>정답</x:v>
      </x:c>
      <x:c r="I66" s="17" t="str">
        <x:v>핵심 단서와 정답 근거를 정확히 연결함</x:v>
      </x:c>
      <x:c r="J66" s="17" t="str">
        <x:v>문제가 시작되는 장면을 정확히 찾았어요.</x:v>
      </x:c>
      <x:c r="K66" s="17" t="str">
        <x:v>사건을 촉발한 최초 장면을 정확히 식별했습니다.</x:v>
      </x:c>
    </x:row>
    <x:row r="67" ht="48" customHeight="1">
      <x:c r="A67" s="17" t="str">
        <x:v>OG0049</x:v>
      </x:c>
      <x:c r="B67" s="17" t="str">
        <x:v>The Mystery of the Deep: The Lost Light</x:v>
      </x:c>
      <x:c r="C67" s="17" t="str">
        <x:v>Q3</x:v>
      </x:c>
      <x:c r="D67" s="17" t="str">
        <x:v>사건 시작 (Initiating Event)</x:v>
      </x:c>
      <x:c r="E67" s="17" t="str">
        <x:v>C</x:v>
      </x:c>
      <x:c r="F67" s="17" t="str">
        <x:v>Kira and Toby decide to help.</x:v>
      </x:c>
      <x:c r="G67" s="36" t="n">
        <x:v>25</x:v>
      </x:c>
      <x:c r="H67" s="17" t="str">
        <x:v>오답</x:v>
      </x:c>
      <x:c r="I67" s="17" t="str">
        <x:v>문제 이후의 대응 장면을 사건 시작으로 혼동합니다.</x:v>
      </x:c>
      <x:c r="J67" s="17" t="str">
        <x:v>선택한 장면이 문제의 시작인지, 그 뒤에 일어난 일인지 다시 비교해 보세요. (문제 이후의 대응 장면을 사건 시작으로 혼동합니다.)</x:v>
      </x:c>
      <x:c r="K67" s="17" t="str">
        <x:v>선택지 진단: 문제 이후의 대응 장면을 사건 시작으로 혼동합니다.</x:v>
      </x:c>
    </x:row>
    <x:row r="68" ht="48" customHeight="1">
      <x:c r="A68" s="17" t="str">
        <x:v>OG0049</x:v>
      </x:c>
      <x:c r="B68" s="17" t="str">
        <x:v>The Mystery of the Deep: The Lost Light</x:v>
      </x:c>
      <x:c r="C68" s="17" t="str">
        <x:v>Q3</x:v>
      </x:c>
      <x:c r="D68" s="17" t="str">
        <x:v>사건 시작 (Initiating Event)</x:v>
      </x:c>
      <x:c r="E68" s="17" t="str">
        <x:v>D</x:v>
      </x:c>
      <x:c r="F68" s="17" t="str">
        <x:v>The fish's lamp shines again.</x:v>
      </x:c>
      <x:c r="G68" s="36" t="n">
        <x:v>0</x:v>
      </x:c>
      <x:c r="H68" s="17" t="str">
        <x:v>오답</x:v>
      </x:c>
      <x:c r="I68" s="17" t="str">
        <x:v>해결 장면을 사건 시작으로 혼동합니다.</x:v>
      </x:c>
      <x:c r="J68" s="17" t="str">
        <x:v>선택한 장면이 문제의 시작인지, 그 뒤에 일어난 일인지 다시 비교해 보세요. (해결 장면을 사건 시작으로 혼동합니다.)</x:v>
      </x:c>
      <x:c r="K68" s="17" t="str">
        <x:v>선택지 진단: 해결 장면을 사건 시작으로 혼동합니다.</x:v>
      </x:c>
    </x:row>
    <x:row r="69" ht="48" customHeight="1">
      <x:c r="A69" s="17" t="str">
        <x:v>OG0049</x:v>
      </x:c>
      <x:c r="B69" s="17" t="str">
        <x:v>The Mystery of the Deep: The Lost Light</x:v>
      </x:c>
      <x:c r="C69" s="17" t="str">
        <x:v>Q5</x:v>
      </x:c>
      <x:c r="D69" s="17" t="str">
        <x:v>감정 반응 (Reaction)</x:v>
      </x:c>
      <x:c r="E69" s="17" t="str">
        <x:v>A</x:v>
      </x:c>
      <x:c r="F69" s="17" t="str">
        <x:v>afraid</x:v>
      </x:c>
      <x:c r="G69" s="36" t="n">
        <x:v>100</x:v>
      </x:c>
      <x:c r="H69" s="17" t="str">
        <x:v>정답</x:v>
      </x:c>
      <x:c r="I69" s="17" t="str">
        <x:v>핵심 단서와 정답 근거를 정확히 연결함</x:v>
      </x:c>
      <x:c r="J69" s="17" t="str">
        <x:v>장면의 사건과 인물의 감정을 정확히 연결했어요.</x:v>
      </x:c>
      <x:c r="K69" s="17" t="str">
        <x:v>장면 근거를 바탕으로 인물의 감정 반응을 정확히 식별했습니다.</x:v>
      </x:c>
    </x:row>
    <x:row r="70" ht="48" customHeight="1">
      <x:c r="A70" s="17" t="str">
        <x:v>OG0049</x:v>
      </x:c>
      <x:c r="B70" s="17" t="str">
        <x:v>The Mystery of the Deep: The Lost Light</x:v>
      </x:c>
      <x:c r="C70" s="17" t="str">
        <x:v>Q5</x:v>
      </x:c>
      <x:c r="D70" s="17" t="str">
        <x:v>감정 반응 (Reaction)</x:v>
      </x:c>
      <x:c r="E70" s="17" t="str">
        <x:v>B</x:v>
      </x:c>
      <x:c r="F70" s="17" t="str">
        <x:v>happy</x:v>
      </x:c>
      <x:c r="G70" s="36" t="n">
        <x:v>0</x:v>
      </x:c>
      <x:c r="H70" s="17" t="str">
        <x:v>오답</x:v>
      </x:c>
      <x:c r="I70" s="17" t="str">
        <x:v>해결 이후 감정을 위기 장면에 적용합니다.</x:v>
      </x:c>
      <x:c r="J70" s="17" t="str">
        <x:v>장면에서 좋은 일인지 어려운 일인지 먼저 판단한 뒤 감정을 골라 보세요. (해결 이후 감정을 위기 장면에 적용합니다.)</x:v>
      </x:c>
      <x:c r="K70" s="17" t="str">
        <x:v>선택지 진단: 해결 이후 감정을 위기 장면에 적용합니다.</x:v>
      </x:c>
    </x:row>
    <x:row r="71" ht="48" customHeight="1">
      <x:c r="A71" s="17" t="str">
        <x:v>OG0049</x:v>
      </x:c>
      <x:c r="B71" s="17" t="str">
        <x:v>The Mystery of the Deep: The Lost Light</x:v>
      </x:c>
      <x:c r="C71" s="17" t="str">
        <x:v>Q5</x:v>
      </x:c>
      <x:c r="D71" s="17" t="str">
        <x:v>감정 반응 (Reaction)</x:v>
      </x:c>
      <x:c r="E71" s="17" t="str">
        <x:v>C</x:v>
      </x:c>
      <x:c r="F71" s="17" t="str">
        <x:v>angry</x:v>
      </x:c>
      <x:c r="G71" s="36" t="n">
        <x:v>30</x:v>
      </x:c>
      <x:c r="H71" s="17" t="str">
        <x:v>오답</x:v>
      </x:c>
      <x:c r="I71" s="17" t="str">
        <x:v>위기감은 파악했지만 두려움과 분노를 혼동합니다.</x:v>
      </x:c>
      <x:c r="J71" s="17" t="str">
        <x:v>장면에서 좋은 일인지 어려운 일인지 먼저 판단한 뒤 감정을 골라 보세요. (위기감은 파악했지만 두려움과 분노를 혼동합니다.)</x:v>
      </x:c>
      <x:c r="K71" s="17" t="str">
        <x:v>선택지 진단: 위기감은 파악했지만 두려움과 분노를 혼동합니다.</x:v>
      </x:c>
    </x:row>
    <x:row r="72" ht="48" customHeight="1">
      <x:c r="A72" s="17" t="str">
        <x:v>OG0049</x:v>
      </x:c>
      <x:c r="B72" s="17" t="str">
        <x:v>The Mystery of the Deep: The Lost Light</x:v>
      </x:c>
      <x:c r="C72" s="17" t="str">
        <x:v>Q5</x:v>
      </x:c>
      <x:c r="D72" s="17" t="str">
        <x:v>감정 반응 (Reaction)</x:v>
      </x:c>
      <x:c r="E72" s="17" t="str">
        <x:v>D</x:v>
      </x:c>
      <x:c r="F72" s="17" t="str">
        <x:v>proud</x:v>
      </x:c>
      <x:c r="G72" s="36" t="n">
        <x:v>10</x:v>
      </x:c>
      <x:c r="H72" s="17" t="str">
        <x:v>오답</x:v>
      </x:c>
      <x:c r="I72" s="17" t="str">
        <x:v>구조 이후의 감정을 현재 장면에 투영합니다.</x:v>
      </x:c>
      <x:c r="J72" s="17" t="str">
        <x:v>장면에서 좋은 일인지 어려운 일인지 먼저 판단한 뒤 감정을 골라 보세요. (구조 이후의 감정을 현재 장면에 투영합니다.)</x:v>
      </x:c>
      <x:c r="K72" s="17" t="str">
        <x:v>선택지 진단: 구조 이후의 감정을 현재 장면에 투영합니다.</x:v>
      </x:c>
    </x:row>
    <x:row r="73" ht="48" customHeight="1">
      <x:c r="A73" s="17" t="str">
        <x:v>OG0049</x:v>
      </x:c>
      <x:c r="B73" s="17" t="str">
        <x:v>The Mystery of the Deep: The Lost Light</x:v>
      </x:c>
      <x:c r="C73" s="17" t="str">
        <x:v>Q6</x:v>
      </x:c>
      <x:c r="D73" s="17" t="str">
        <x:v>내적 반응 (Internal Response)</x:v>
      </x:c>
      <x:c r="E73" s="17" t="str">
        <x:v>A</x:v>
      </x:c>
      <x:c r="F73" s="17" t="str">
        <x:v>We should keep the ocean clean.</x:v>
      </x:c>
      <x:c r="G73" s="36" t="n">
        <x:v>100</x:v>
      </x:c>
      <x:c r="H73" s="17" t="str">
        <x:v>정답</x:v>
      </x:c>
      <x:c r="I73" s="17" t="str">
        <x:v>핵심 단서와 정답 근거를 정확히 연결함</x:v>
      </x:c>
      <x:c r="J73" s="17" t="str">
        <x:v>인물이 속으로 무엇을 생각하고 깨달았는지 정확히 추론했어요.</x:v>
      </x:c>
      <x:c r="K73" s="17" t="str">
        <x:v>장면 근거와 인물의 내적 변화·의도를 안정적으로 연결했습니다.</x:v>
      </x:c>
    </x:row>
    <x:row r="74" ht="48" customHeight="1">
      <x:c r="A74" s="17" t="str">
        <x:v>OG0049</x:v>
      </x:c>
      <x:c r="B74" s="17" t="str">
        <x:v>The Mystery of the Deep: The Lost Light</x:v>
      </x:c>
      <x:c r="C74" s="17" t="str">
        <x:v>Q6</x:v>
      </x:c>
      <x:c r="D74" s="17" t="str">
        <x:v>내적 반응 (Internal Response)</x:v>
      </x:c>
      <x:c r="E74" s="17" t="str">
        <x:v>B</x:v>
      </x:c>
      <x:c r="F74" s="17" t="str">
        <x:v>Plastic bags are not dangerous.</x:v>
      </x:c>
      <x:c r="G74" s="36" t="n">
        <x:v>0</x:v>
      </x:c>
      <x:c r="H74" s="17" t="str">
        <x:v>오답</x:v>
      </x:c>
      <x:c r="I74" s="17" t="str">
        <x:v>이야기의 핵심 깨달음과 반대되는 생각을 선택합니다.</x:v>
      </x:c>
      <x:c r="J74" s="17" t="str">
        <x:v>인물이 한 행동과 그 행동을 한 이유를 이어서 생각해 보세요. (이야기의 핵심 깨달음과 반대되는 생각을 선택합니다.)</x:v>
      </x:c>
      <x:c r="K74" s="17" t="str">
        <x:v>선택지 진단: 이야기의 핵심 깨달음과 반대되는 생각을 선택합니다.</x:v>
      </x:c>
    </x:row>
    <x:row r="75" ht="48" customHeight="1">
      <x:c r="A75" s="17" t="str">
        <x:v>OG0049</x:v>
      </x:c>
      <x:c r="B75" s="17" t="str">
        <x:v>The Mystery of the Deep: The Lost Light</x:v>
      </x:c>
      <x:c r="C75" s="17" t="str">
        <x:v>Q6</x:v>
      </x:c>
      <x:c r="D75" s="17" t="str">
        <x:v>내적 반응 (Internal Response)</x:v>
      </x:c>
      <x:c r="E75" s="17" t="str">
        <x:v>C</x:v>
      </x:c>
      <x:c r="F75" s="17" t="str">
        <x:v>One fish is not important.</x:v>
      </x:c>
      <x:c r="G75" s="36" t="n">
        <x:v>10</x:v>
      </x:c>
      <x:c r="H75" s="17" t="str">
        <x:v>오답</x:v>
      </x:c>
      <x:c r="I75" s="17" t="str">
        <x:v>인물의 책임감과 생명 보호 의도를 약하게 이해함</x:v>
      </x:c>
      <x:c r="J75" s="17" t="str">
        <x:v>인물이 한 행동과 그 행동을 한 이유를 이어서 생각해 보세요. (인물의 책임감과 생명 보호 의도를 약하게 이해함)</x:v>
      </x:c>
      <x:c r="K75" s="17" t="str">
        <x:v>선택지 진단: 인물의 책임감과 생명 보호 의도를 약하게 이해함</x:v>
      </x:c>
    </x:row>
    <x:row r="76" ht="48" customHeight="1">
      <x:c r="A76" s="17" t="str">
        <x:v>OG0049</x:v>
      </x:c>
      <x:c r="B76" s="17" t="str">
        <x:v>The Mystery of the Deep: The Lost Light</x:v>
      </x:c>
      <x:c r="C76" s="17" t="str">
        <x:v>Q6</x:v>
      </x:c>
      <x:c r="D76" s="17" t="str">
        <x:v>내적 반응 (Internal Response)</x:v>
      </x:c>
      <x:c r="E76" s="17" t="str">
        <x:v>D</x:v>
      </x:c>
      <x:c r="F76" s="17" t="str">
        <x:v>We should leave the trash in the sea.</x:v>
      </x:c>
      <x:c r="G76" s="36" t="n">
        <x:v>0</x:v>
      </x:c>
      <x:c r="H76" s="17" t="str">
        <x:v>오답</x:v>
      </x:c>
      <x:c r="I76" s="17" t="str">
        <x:v>환경 보호 메시지와 반대되는 생각을 선택합니다.</x:v>
      </x:c>
      <x:c r="J76" s="17" t="str">
        <x:v>인물이 한 행동과 그 행동을 한 이유를 이어서 생각해 보세요. (환경 보호 메시지와 반대되는 생각을 선택합니다.)</x:v>
      </x:c>
      <x:c r="K76" s="17" t="str">
        <x:v>선택지 진단: 환경 보호 메시지와 반대되는 생각을 선택합니다.</x:v>
      </x:c>
    </x:row>
  </x:sheetData>
  <x:mergeCells>
    <x:mergeCell ref="A1:K1"/>
    <x:mergeCell ref="A2:K2"/>
  </x:mergeCells>
  <x:conditionalFormatting sqref="H5:H76">
    <x:cfRule type="containsText" dxfId="8" priority="1" operator="containsText" text="정답"/>
    <x:cfRule type="containsText" dxfId="9" priority="2" operator="containsText" text="오답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13" hidden="0" customWidth="1"/>
    <x:col min="4" max="4" width="14" hidden="0" customWidth="1"/>
    <x:col min="5" max="5" width="54" hidden="0" customWidth="1"/>
    <x:col min="6" max="6" width="38" hidden="0" customWidth="1"/>
  </x:cols>
  <x:sheetData>
    <x:row r="1" ht="34" customHeight="1">
      <x:c r="A1" s="4" t="str">
        <x:v>점수 계산기</x:v>
      </x:c>
      <x:c r="B1" s="4"/>
      <x:c r="C1" s="4"/>
      <x:c r="D1" s="4"/>
      <x:c r="E1" s="4"/>
      <x:c r="F1" s="4"/>
    </x:row>
    <x:row r="2" ht="34" customHeight="1">
      <x:c r="A2" s="8" t="str">
        <x:v>C열에 각 문항 점수를 입력하면 전체 평균과 숙달 구간·피드백이 자동 계산됩니다.</x:v>
      </x:c>
      <x:c r="B2" s="8"/>
      <x:c r="C2" s="8"/>
      <x:c r="D2" s="8"/>
      <x:c r="E2" s="8"/>
      <x:c r="F2" s="8"/>
    </x:row>
    <x:row r="4" ht="58" customHeight="1">
      <x:c r="A4" s="62" t="str">
        <x:v>전체 평균</x:v>
      </x:c>
      <x:c r="B4" s="63"/>
      <x:c r="C4" s="68" t="str">
        <x:f>IF(COUNT(C9:C14)=0,"",ROUND(AVERAGE(C9:C14),0))</x:f>
      </x:c>
      <x:c r="D4" s="63" t="str">
        <x:f>IF(C4="","",IF(C4&gt;='전체 루브릭'!$C$5,"안정",IF(C4&gt;='전체 루브릭'!$C$6,"발달 중",IF(C4&gt;='전체 루브릭'!$C$7,"흔들림","집중 보완"))))</x:f>
      </x:c>
      <x:c r="E4" s="63" t="str">
        <x:f>IF(D4="안정",'전체 루브릭'!G5,IF(D4="발달 중",'전체 루브릭'!G6,IF(D4="흔들림",'전체 루브릭'!G7,IF(D4="집중 보완",'전체 루브릭'!G8,""))))</x:f>
      </x:c>
      <x:c r="F4" s="64"/>
    </x:row>
    <x:row r="8" ht="28" customHeight="1">
      <x:c r="A8" s="34" t="str">
        <x:v>문항</x:v>
      </x:c>
      <x:c r="B8" s="34" t="str">
        <x:v>영역</x:v>
      </x:c>
      <x:c r="C8" s="34" t="str">
        <x:v>점수 입력</x:v>
      </x:c>
      <x:c r="D8" s="34" t="str">
        <x:v>숙달 구간</x:v>
      </x:c>
      <x:c r="E8" s="34" t="str">
        <x:v>학생 피드백</x:v>
      </x:c>
      <x:c r="F8" s="34" t="str">
        <x:v>권장 활동</x:v>
      </x:c>
    </x:row>
    <x:row r="9">
      <x:c r="A9" s="16" t="str">
        <x:v>Q1</x:v>
      </x:c>
      <x:c r="B9" s="16" t="str">
        <x:v>결과·사건 순서 (Consequence)</x:v>
      </x:c>
      <x:c r="C9" s="76"/>
      <x:c r="D9" s="16" t="str">
        <x:f>IF(C9="","",IF(C9&gt;='전체 루브릭'!$C$5,"안정",IF(C9&gt;='전체 루브릭'!$C$6,"발달 중",IF(C9&gt;='전체 루브릭'!$C$7,"흔들림","집중 보완"))))</x:f>
      </x:c>
      <x:c r="E9" s="16" t="str">
        <x:f>IF(D9="","",IF(D9="안정","사건 5개를 정확한 흐름으로 배열했어요.",IF(D9="발달 중","전체 흐름은 잘 잡았어요. 가까이 바뀐 장면의 앞뒤를 다시 확인해 보세요.",IF(D9="흔들림","처음과 마지막 단서를 먼저 찾고 중간 장면을 이어 보세요.","가장 먼저 일어난 장면과 마지막 장면부터 찾아봅시다."))))</x:f>
      </x:c>
      <x:c r="F9" s="16" t="str">
        <x:f>IF(D9="","",IF(D9="안정","다른 이야기를 읽고 핵심 장면 5개를 직접 골라 배열해 보세요.",IF(D9="발달 중","바뀐 두 장면 사이에 ‘그래서/그다음’을 넣어 말해 보세요.",IF(D9="흔들림","첫 장면과 마지막 장면을 고정한 뒤 중간 3개만 재배열하세요.","그림을 두 장씩 비교하며 ‘먼저/나중’을 말하게 해주세요."))))</x:f>
      </x:c>
    </x:row>
    <x:row r="10">
      <x:c r="A10" s="17" t="str">
        <x:v>Q2</x:v>
      </x:c>
      <x:c r="B10" s="17" t="str">
        <x:v>배경 (Setting)</x:v>
      </x:c>
      <x:c r="C10" s="76"/>
      <x:c r="D10" s="17" t="str">
        <x:f>IF(C10="","",IF(C10&gt;='전체 루브릭'!$C$5,"안정",IF(C10&gt;='전체 루브릭'!$C$6,"발달 중",IF(C10&gt;='전체 루브릭'!$C$7,"흔들림","집중 보완"))))</x:f>
      </x:c>
      <x:c r="E10" s="17" t="str">
        <x:f>IF(D10="","",IF(D10="안정","누가, 어디서, 처음에 무엇을 했는지 정확히 구분했어요.",IF(D10="발달 중","배경의 큰 틀은 이해했어요. 헷갈린 슬롯의 카드를 다시 비교해 보세요.",IF(D10="흔들림","인물, 장소, 처음 상황을 하나씩 따로 찾아봅시다.","먼저 주인공을 찾고, 그다음 장소를 찾아봅시다."))))</x:f>
      </x:c>
      <x:c r="F10" s="17" t="str">
        <x:f>IF(D10="","",IF(D10="안정","새 이야기의 첫 장면을 한 문장으로 요약해 보세요.",IF(D10="발달 중","Who·Where·At first를 색으로 나누어 표시해 보세요.",IF(D10="흔들림","첫 문단에서 인물·장소·행동에 각각 밑줄을 그어보세요.","그림을 보며 ‘누가/어디서/처음에’ 질문을 한 번에 하나씩 제시하세요."))))</x:f>
      </x:c>
    </x:row>
    <x:row r="11">
      <x:c r="A11" s="17" t="str">
        <x:v>Q3</x:v>
      </x:c>
      <x:c r="B11" s="17" t="str">
        <x:v>사건 시작 (Initiating Event)</x:v>
      </x:c>
      <x:c r="C11" s="76"/>
      <x:c r="D11" s="17" t="str">
        <x:f>IF(C11="","",IF(C11&gt;='전체 루브릭'!$C$5,"안정",IF(C11&gt;='전체 루브릭'!$C$6,"발달 중",IF(C11&gt;='전체 루브릭'!$C$7,"흔들림","집중 보완"))))</x:f>
      </x:c>
      <x:c r="E11" s="17" t="str">
        <x:f>IF(D11="","",IF(D11="안정","문제가 시작되는 장면을 정확히 찾았어요.",IF(D11="발달 중","큰 흐름은 잘 잡았어요. 헷갈린 장면이나 단서를 한 번 더 비교해 보세요.",IF(D11="흔들림","알고 있는 단서가 있어요. 처음·문제·행동·결과를 나누어 다시 정리해 봅시다.","선택한 장면이 문제의 시작인지, 그 뒤에 일어난 일인지 다시 비교해 보세요."))))</x:f>
      </x:c>
      <x:c r="F11" s="17" t="str">
        <x:f>IF(D11="","",IF(D11="안정","왜 이 장면부터 문제가 시작되는지 한 문장으로 설명해 보세요.",IF(D11="발달 중","오답 장면 2개 비교, 이유 한 문장으로 설명",IF(D11="흔들림","그림 순서 말하기, 핵심 문장 따라 말하기","각 선택지를 ‘문제 전/문제 시작/문제 후’로 분류해 보세요."))))</x:f>
      </x:c>
    </x:row>
    <x:row r="12">
      <x:c r="A12" s="17" t="str">
        <x:v>Q4</x:v>
      </x:c>
      <x:c r="B12" s="17" t="str">
        <x:v>시도·행동 (Attempt)</x:v>
      </x:c>
      <x:c r="C12" s="76"/>
      <x:c r="D12" s="17" t="str">
        <x:f>IF(C12="","",IF(C12&gt;='전체 루브릭'!$C$5,"안정",IF(C12&gt;='전체 루브릭'!$C$6,"발달 중",IF(C12&gt;='전체 루브릭'!$C$7,"흔들림","집중 보완"))))</x:f>
      </x:c>
      <x:c r="E12" s="17" t="str">
        <x:f>IF(D12="","",IF(D12="안정","누가 무엇을 했는지 문장을 정확한 순서로 만들었어요.",IF(D12="발달 중","행동 문장의 큰 구조는 맞아요. 어순이 바뀐 단어를 다시 살펴보세요.",IF(D12="흔들림","먼저 ‘누가’와 ‘무엇을 했는지’를 찾아 문장 앞에 놓아 보세요.","그림을 보고 주인공의 행동을 두세 단어로 먼저 말해 봅시다."))))</x:f>
      </x:c>
      <x:c r="F12" s="17" t="str">
        <x:f>IF(D12="","",IF(D12="안정","같은 장면을 다른 표현의 문장으로 바꾸어 말해 보세요.",IF(D12="발달 중","주어와 동사를 먼저 고정한 뒤 나머지 단어를 배치하세요.",IF(D12="흔들림","그림 속 행동을 짧게 말한 뒤 단어 카드로 옮겨 보세요.","교사가 문장을 읽어주고 단어를 한 칸씩 대응시켜 주세요."))))</x:f>
      </x:c>
    </x:row>
    <x:row r="13">
      <x:c r="A13" s="17" t="str">
        <x:v>Q5</x:v>
      </x:c>
      <x:c r="B13" s="17" t="str">
        <x:v>감정 반응 (Reaction)</x:v>
      </x:c>
      <x:c r="C13" s="76"/>
      <x:c r="D13" s="17" t="str">
        <x:f>IF(C13="","",IF(C13&gt;='전체 루브릭'!$C$5,"안정",IF(C13&gt;='전체 루브릭'!$C$6,"발달 중",IF(C13&gt;='전체 루브릭'!$C$7,"흔들림","집중 보완"))))</x:f>
      </x:c>
      <x:c r="E13" s="17" t="str">
        <x:f>IF(D13="","",IF(D13="안정","장면의 사건과 인물의 감정을 정확히 연결했어요.",IF(D13="발달 중","큰 흐름은 잘 잡았어요. 헷갈린 장면이나 단서를 한 번 더 비교해 보세요.",IF(D13="흔들림","알고 있는 단서가 있어요. 처음·문제·행동·결과를 나누어 다시 정리해 봅시다.","장면에서 좋은 일인지 어려운 일인지 먼저 판단한 뒤 감정을 골라 보세요."))))</x:f>
      </x:c>
      <x:c r="F13" s="17" t="str">
        <x:f>IF(D13="","",IF(D13="안정","표정·행동·상황 중 어떤 단서가 감정을 보여주는지 말해 보세요.",IF(D13="발달 중","오답 장면 2개 비교, 이유 한 문장으로 설명",IF(D13="흔들림","그림 순서 말하기, 핵심 문장 따라 말하기","감정 카드를 긍정/부정으로 나누고 장면 근거와 짝지어 보세요."))))</x:f>
      </x:c>
    </x:row>
    <x:row r="14">
      <x:c r="A14" s="17" t="str">
        <x:v>Q6</x:v>
      </x:c>
      <x:c r="B14" s="17" t="str">
        <x:v>내적 반응 (Internal Response)</x:v>
      </x:c>
      <x:c r="C14" s="76"/>
      <x:c r="D14" s="17" t="str">
        <x:f>IF(C14="","",IF(C14&gt;='전체 루브릭'!$C$5,"안정",IF(C14&gt;='전체 루브릭'!$C$6,"발달 중",IF(C14&gt;='전체 루브릭'!$C$7,"흔들림","집중 보완"))))</x:f>
      </x:c>
      <x:c r="E14" s="17" t="str">
        <x:f>IF(D14="","",IF(D14="안정","인물이 속으로 무엇을 생각하고 깨달았는지 정확히 추론했어요.",IF(D14="발달 중","큰 흐름은 잘 잡았어요. 헷갈린 장면이나 단서를 한 번 더 비교해 보세요.",IF(D14="흔들림","알고 있는 단서가 있어요. 처음·문제·행동·결과를 나누어 다시 정리해 봅시다.","인물이 한 행동과 그 행동을 한 이유를 이어서 생각해 보세요."))))</x:f>
      </x:c>
      <x:c r="F14" s="17" t="str">
        <x:f>IF(D14="","",IF(D14="안정","그 생각이 다음 행동에 어떤 영향을 주는지 설명해 보세요.",IF(D14="발달 중","오답 장면 2개 비교, 이유 한 문장으로 설명",IF(D14="흔들림","그림 순서 말하기, 핵심 문장 따라 말하기","‘인물은 ___했기 때문에 ___라고 생각했을 것이다’ 문장틀을 사용하세요."))))</x:f>
      </x:c>
    </x:row>
    <x:row r="16" ht="34" customHeight="1">
      <x:c r="A16" s="80" t="str">
        <x:v>입력값은 실제 퀴즈 결과의 문항 점수를 사용하세요. 임의 점수도 계산은 되지만 ‘가능 점수’ 시트에 없는 값은 현행 로직에서 직접 발생하지 않을 수 있습니다.</x:v>
      </x:c>
      <x:c r="B16" s="80"/>
      <x:c r="C16" s="80"/>
      <x:c r="D16" s="80"/>
      <x:c r="E16" s="80"/>
      <x:c r="F16" s="80"/>
    </x:row>
  </x:sheetData>
  <x:mergeCells>
    <x:mergeCell ref="A1:F1"/>
    <x:mergeCell ref="A2:F2"/>
    <x:mergeCell ref="A4:B4"/>
    <x:mergeCell ref="E4:F4"/>
    <x:mergeCell ref="A16:F16"/>
  </x:mergeCells>
  <x:conditionalFormatting sqref="D4:D4">
    <x:cfRule type="containsText" dxfId="10" priority="1" operator="containsText" text="안정"/>
    <x:cfRule type="containsText" dxfId="11" priority="2" operator="containsText" text="발달 중"/>
    <x:cfRule type="containsText" dxfId="12" priority="3" operator="containsText" text="흔들림"/>
    <x:cfRule type="containsText" dxfId="13" priority="4" operator="containsText" text="집중 보완"/>
  </x:conditionalFormatting>
  <x:conditionalFormatting sqref="D9:D14">
    <x:cfRule type="containsText" dxfId="14" priority="5" operator="containsText" text="안정"/>
    <x:cfRule type="containsText" dxfId="15" priority="6" operator="containsText" text="발달 중"/>
    <x:cfRule type="containsText" dxfId="16" priority="7" operator="containsText" text="흔들림"/>
    <x:cfRule type="containsText" dxfId="17" priority="8" operator="containsText" text="집중 보완"/>
  </x:conditionalFormatting>
  <x:dataValidations count="1">
    <x:dataValidation type="whole" operator="between" sqref="C9:C14">
      <x:formula1>0</x:formula1>
      <x:formula2>100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38" hidden="0" customWidth="1"/>
    <x:col min="4" max="4" width="66" hidden="0" customWidth="1"/>
    <x:col min="5" max="5" width="13" hidden="0" customWidth="1"/>
    <x:col min="6" max="6" width="38" hidden="0" customWidth="1"/>
  </x:cols>
  <x:sheetData>
    <x:row r="1" ht="34" customHeight="1">
      <x:c r="A1" s="4" t="str">
        <x:v>근거와 출처</x:v>
      </x:c>
      <x:c r="B1" s="4"/>
      <x:c r="C1" s="4"/>
      <x:c r="D1" s="4"/>
      <x:c r="E1" s="4"/>
      <x:c r="F1" s="4"/>
    </x:row>
    <x:row r="2" ht="34" customHeight="1">
      <x:c r="A2" s="8" t="str">
        <x:v>현행 채점 코드와 JSON을 운영 루브릭으로 명문화한 문서입니다.</x:v>
      </x:c>
      <x:c r="B2" s="8"/>
      <x:c r="C2" s="8"/>
      <x:c r="D2" s="8"/>
      <x:c r="E2" s="8"/>
      <x:c r="F2" s="8"/>
    </x:row>
    <x:row r="4" ht="28" customHeight="1">
      <x:c r="A4" s="34" t="str">
        <x:v>구분</x:v>
      </x:c>
      <x:c r="B4" s="34" t="str">
        <x:v>근거</x:v>
      </x:c>
      <x:c r="C4" s="34" t="str">
        <x:v>적용 내용</x:v>
      </x:c>
      <x:c r="D4" s="34" t="str">
        <x:v>출처 URL</x:v>
      </x:c>
      <x:c r="E4" s="34" t="str">
        <x:v>검토일</x:v>
      </x:c>
      <x:c r="F4" s="34" t="str">
        <x:v>제한 사항</x:v>
      </x:c>
    </x:row>
    <x:row r="5" ht="36" customHeight="1">
      <x:c r="A5" s="16" t="str">
        <x:v>서버 생성 로직</x:v>
      </x:c>
      <x:c r="B5" s="16" t="str">
        <x:v>studio/app.py</x:v>
      </x:c>
      <x:c r="C5" s="16" t="str">
        <x:v>Q1~Q6 기본 가중치, 산식, 숙달 구간</x:v>
      </x:c>
      <x:c r="D5" s="16" t="str">
        <x:v>https://github.com/chbnglee/reading-quiz/blob/main/studio/app.py</x:v>
      </x:c>
      <x:c r="E5" s="16" t="str">
        <x:v>2026-08-10</x:v>
      </x:c>
      <x:c r="F5" s="16" t="str">
        <x:v>규칙 기반 초안 생성 로직</x:v>
      </x:c>
    </x:row>
    <x:row r="6" ht="36" customHeight="1">
      <x:c r="A6" s="17" t="str">
        <x:v>Studio 편집·내보내기</x:v>
      </x:c>
      <x:c r="B6" s="17" t="str">
        <x:v>studio/static/studio.js</x:v>
      </x:c>
      <x:c r="C6" s="17" t="str">
        <x:v>reporting 구조와 Quiz Studio 데이터 처리</x:v>
      </x:c>
      <x:c r="D6" s="17" t="str">
        <x:v>https://github.com/chbnglee/reading-quiz/blob/main/studio/static/studio.js</x:v>
      </x:c>
      <x:c r="E6" s="17" t="str">
        <x:v>2026-08-10</x:v>
      </x:c>
      <x:c r="F6" s="17" t="str">
        <x:v>Studio에서 편집된 값이 개별 콘텐츠와 달라질 수 있음</x:v>
      </x:c>
    </x:row>
    <x:row r="7" ht="36" customHeight="1">
      <x:c r="A7" s="17" t="str">
        <x:v>v3 실제 콘텐츠</x:v>
      </x:c>
      <x:c r="B7" s="17" t="str">
        <x:v>v3/*/*.quiz.json</x:v>
      </x:c>
      <x:c r="C7" s="17" t="str">
        <x:v>6종 콘텐츠의 실제 선택지 점수·diagnostic·문장 길이</x:v>
      </x:c>
      <x:c r="D7" s="17" t="str">
        <x:v>https://github.com/chbnglee/reading-quiz/tree/main/v3</x:v>
      </x:c>
      <x:c r="E7" s="17" t="str">
        <x:v>2026-08-10</x:v>
      </x:c>
      <x:c r="F7" s="17" t="str">
        <x:v>현재 저장소의 6종 콘텐츠 기준</x:v>
      </x:c>
    </x:row>
    <x:row r="8" ht="36" customHeight="1">
      <x:c r="A8" s="17" t="str">
        <x:v>브라우저 채점</x:v>
      </x:c>
      <x:c r="B8" s="17" t="str">
        <x:v>v3/*/*_ReadingQuiz.html</x:v>
      </x:c>
      <x:c r="C8" s="17" t="str">
        <x:v>거리·슬롯·단어 위치·선택지 점수의 실제 실행 방식</x:v>
      </x:c>
      <x:c r="D8" s="17" t="str">
        <x:v>https://github.com/chbnglee/reading-quiz/tree/main/v3</x:v>
      </x:c>
      <x:c r="E8" s="17" t="str">
        <x:v>2026-08-10</x:v>
      </x:c>
      <x:c r="F8" s="17" t="str">
        <x:v>HTML이 재생성되면 JSON과 동기화 확인 필요</x:v>
      </x:c>
    </x:row>
    <x:row r="9" ht="36" customHeight="1">
      <x:c r="A9" s="17" t="str">
        <x:v>전체점수</x:v>
      </x:c>
      <x:c r="B9" s="17" t="str">
        <x:v>reporting.overallFormula</x:v>
      </x:c>
      <x:c r="C9" s="17" t="str">
        <x:v>6개 Story Grammar 영역 단순 평균</x:v>
      </x:c>
      <x:c r="D9" s="17" t="str">
        <x:v>https://github.com/chbnglee/reading-quiz/blob/main/studio/app.py</x:v>
      </x:c>
      <x:c r="E9" s="17" t="str">
        <x:v>2026-08-10</x:v>
      </x:c>
      <x:c r="F9" s="17" t="str">
        <x:v>영역 간 추가 가중치는 없음</x:v>
      </x:c>
    </x:row>
    <x:row r="10" ht="36" customHeight="1">
      <x:c r="A10" s="17" t="str">
        <x:v>숙달 구간</x:v>
      </x:c>
      <x:c r="B10" s="17" t="str">
        <x:v>reporting.masteryBands</x:v>
      </x:c>
      <x:c r="C10" s="17" t="str">
        <x:v>안정 85+, 발달 중 70+, 흔들림 50+, 집중 보완 0+</x:v>
      </x:c>
      <x:c r="D10" s="17" t="str">
        <x:v>https://github.com/chbnglee/reading-quiz/blob/main/studio/app.py</x:v>
      </x:c>
      <x:c r="E10" s="17" t="str">
        <x:v>2026-08-10</x:v>
      </x:c>
      <x:c r="F10" s="17" t="str">
        <x:v>표준화 규준이 아니라 제품 내 운영 기준</x:v>
      </x:c>
    </x:row>
    <x:row r="12">
      <x:c r="A12" s="39" t="str">
        <x:v>해석 원칙 및 제한</x:v>
      </x:c>
      <x:c r="B12" s="39"/>
      <x:c r="C12" s="39"/>
      <x:c r="D12" s="39"/>
      <x:c r="E12" s="39"/>
      <x:c r="F12" s="39"/>
    </x:row>
    <x:row r="13">
      <x:c r="A13" s="22" t="str">
        <x:v>1</x:v>
      </x:c>
      <x:c r="B13" s="16" t="str">
        <x:v>점수는 해당 문항에서 관찰된 수행을 나타내며 학생의 고정 능력이나 전체 읽기 수준을 단정하지 않습니다.</x:v>
      </x:c>
      <x:c r="C13" s="16"/>
      <x:c r="D13" s="16"/>
      <x:c r="E13" s="16"/>
      <x:c r="F13" s="16"/>
    </x:row>
    <x:row r="14">
      <x:c r="A14" s="23" t="str">
        <x:v>2</x:v>
      </x:c>
      <x:c r="B14" s="17" t="str">
        <x:v>부분점수 가중치는 코드 설계상 진단적 근접성을 표현하지만 별도의 문항반응이론·규준 타당화가 완료된 값은 아닙니다.</x:v>
      </x:c>
      <x:c r="C14" s="17"/>
      <x:c r="D14" s="17"/>
      <x:c r="E14" s="17"/>
      <x:c r="F14" s="17"/>
    </x:row>
    <x:row r="15">
      <x:c r="A15" s="23" t="str">
        <x:v>3</x:v>
      </x:c>
      <x:c r="B15" s="17" t="str">
        <x:v>낮은 점수는 이야기 이해 외에도 어휘, 듣기, 주의집중, 드래그 조작, 기기 환경의 영향을 받을 수 있습니다.</x:v>
      </x:c>
      <x:c r="C15" s="17"/>
      <x:c r="D15" s="17"/>
      <x:c r="E15" s="17"/>
      <x:c r="F15" s="17"/>
    </x:row>
    <x:row r="16">
      <x:c r="A16" s="23" t="str">
        <x:v>4</x:v>
      </x:c>
      <x:c r="B16" s="17" t="str">
        <x:v>학부모 피드백은 점수 구간뿐 아니라 answerDetails의 배열·슬롯·선택지 diagnostic과 함께 제시해야 합니다.</x:v>
      </x:c>
      <x:c r="C16" s="17"/>
      <x:c r="D16" s="17"/>
      <x:c r="E16" s="17"/>
      <x:c r="F16" s="17"/>
    </x:row>
    <x:row r="17">
      <x:c r="A17" s="23" t="str">
        <x:v>5</x:v>
      </x:c>
      <x:c r="B17" s="17" t="str">
        <x:v>가중치 변경 시 JSON, Studio 생성 로직, 내보낸 HTML, 루브릭을 함께 갱신하고 회귀 테스트해야 합니다.</x:v>
      </x:c>
      <x:c r="C17" s="17"/>
      <x:c r="D17" s="17"/>
      <x:c r="E17" s="17"/>
      <x:c r="F17" s="17"/>
    </x:row>
  </x:sheetData>
  <x:mergeCells>
    <x:mergeCell ref="A1:F1"/>
    <x:mergeCell ref="A2:F2"/>
    <x:mergeCell ref="A12:F12"/>
    <x:mergeCell ref="B13:F13"/>
    <x:mergeCell ref="B14:F14"/>
    <x:mergeCell ref="B15:F15"/>
    <x:mergeCell ref="B16:F16"/>
    <x:mergeCell ref="B17:F17"/>
  </x:mergeCells>
  <x:pageMargins left="0.7" right="0.7" top="0.75" bottom="0.75" header="0.3" footer="0.3"/>
</x:worksheet>
</file>