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728bd41e846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9cc588069634332"/>
    <x:sheet xmlns:r="http://schemas.openxmlformats.org/officeDocument/2006/relationships" name="Response Levels" sheetId="2" r:id="R1f0736c0d6f94d33"/>
    <x:sheet xmlns:r="http://schemas.openxmlformats.org/officeDocument/2006/relationships" name="Question Rubric" sheetId="3" r:id="R1dc03ffc84c94767"/>
    <x:sheet xmlns:r="http://schemas.openxmlformats.org/officeDocument/2006/relationships" name="Feedback Matrix" sheetId="4" r:id="R7db5acbada7447df"/>
    <x:sheet xmlns:r="http://schemas.openxmlformats.org/officeDocument/2006/relationships" name="Option Diagnostics" sheetId="5" r:id="R063075edf7c743a8"/>
    <x:sheet xmlns:r="http://schemas.openxmlformats.org/officeDocument/2006/relationships" name="Profile Calculator" sheetId="6" r:id="Ra49af5bd35d6453f"/>
    <x:sheet xmlns:r="http://schemas.openxmlformats.org/officeDocument/2006/relationships" name="LRS &amp; Validation" sheetId="7" r:id="R09a39d32aac44d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C1D95"/>
      <x:name val="Carlito"/>
    </x:font>
    <x:font>
      <x:b/>
      <x:sz val="11"/>
      <x:color rgb="FFFFFFFF"/>
      <x:name val="Carlito"/>
    </x:font>
    <x:font>
      <x:b/>
      <x:sz val="11"/>
      <x:color rgb="FF4C1D95"/>
      <x:name val="Carlito"/>
    </x:font>
    <x:font>
      <x:b/>
      <x:sz val="18"/>
      <x:color rgb="FFFFFFFF"/>
      <x:name val="Aptos"/>
    </x:font>
    <x:font>
      <x:sz val="11"/>
      <x:name val="Aptos"/>
    </x:font>
    <x:font>
      <x:i/>
      <x:sz val="11"/>
      <x:color rgb="FF4C1D95"/>
      <x:name val="Aptos"/>
    </x:font>
    <x:font>
      <x:b/>
      <x:sz val="11"/>
      <x:color rgb="FFFFFFFF"/>
      <x:name val="Aptos"/>
    </x:font>
    <x:font>
      <x:b/>
      <x:sz val="11"/>
      <x:color rgb="FF4C1D95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4C1D95"/>
      </x:patternFill>
    </x:fill>
    <x:fill>
      <x:patternFill patternType="solid">
        <x:fgColor rgb="FFEDE9FE"/>
      </x:patternFill>
    </x:fill>
    <x:fill>
      <x:patternFill patternType="solid">
        <x:fgColor rgb="FF6D28D9"/>
      </x:patternFill>
    </x:fill>
    <x:fill>
      <x:patternFill patternType="solid">
        <x:fgColor rgb="FFF5F3FF"/>
      </x:patternFill>
    </x:fill>
    <x:fill>
      <x:patternFill patternType="solid">
        <x:fgColor rgb="FFD1FAE5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D9E3"/>
      </x:left>
      <x:right style="thin">
        <x:color rgb="FFD9D9E3"/>
      </x:right>
      <x:top style="thin">
        <x:color rgb="FFD9D9E3"/>
      </x:top>
      <x:bottom style="thin">
        <x:color rgb="FFD9D9E3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6" fillId="0" borderId="1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 applyAlignment="1">
      <x:alignment horizontal="center" wrapText="1"/>
    </x:xf>
    <x:xf numFmtId="0" fontId="8" fillId="4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149d0dc7954a86" /><Relationship Type="http://schemas.openxmlformats.org/officeDocument/2006/relationships/theme" Target="/xl/theme/theme1.xml" Id="Rdfa0c8860b524e08" /><Relationship Type="http://schemas.openxmlformats.org/officeDocument/2006/relationships/sharedStrings" Target="/xl/sharedStrings.xml" Id="R2905d4eb705944f0" /><Relationship Type="http://schemas.openxmlformats.org/officeDocument/2006/relationships/worksheet" Target="/xl/worksheets/sheet1.xml" Id="R89cc588069634332" /><Relationship Type="http://schemas.openxmlformats.org/officeDocument/2006/relationships/worksheet" Target="/xl/worksheets/sheet2.xml" Id="R1f0736c0d6f94d33" /><Relationship Type="http://schemas.openxmlformats.org/officeDocument/2006/relationships/worksheet" Target="/xl/worksheets/sheet3.xml" Id="R1dc03ffc84c94767" /><Relationship Type="http://schemas.openxmlformats.org/officeDocument/2006/relationships/worksheet" Target="/xl/worksheets/sheet4.xml" Id="R7db5acbada7447df" /><Relationship Type="http://schemas.openxmlformats.org/officeDocument/2006/relationships/worksheet" Target="/xl/worksheets/sheet5.xml" Id="R063075edf7c743a8" /><Relationship Type="http://schemas.openxmlformats.org/officeDocument/2006/relationships/worksheet" Target="/xl/worksheets/sheet6.xml" Id="Ra49af5bd35d6453f" /><Relationship Type="http://schemas.openxmlformats.org/officeDocument/2006/relationships/worksheet" Target="/xl/worksheets/sheet7.xml" Id="R09a39d32aac44d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6.25" hidden="0" customWidth="1"/>
    <x:col min="3" max="3" width="21.25" hidden="0" customWidth="1"/>
    <x:col min="4" max="4" width="28.75" hidden="0" customWidth="1"/>
    <x:col min="5" max="5" width="27.5" hidden="0" customWidth="1"/>
    <x:col min="6" max="6" width="26.25" hidden="0" customWidth="1"/>
    <x:col min="7" max="7" width="22.5" hidden="0" customWidth="1"/>
    <x:col min="8" max="8" width="27.5" hidden="0" customWidth="1"/>
  </x:cols>
  <x:sheetData>
    <x:row r="1" ht="34" customHeight="1">
      <x:c r="A1" s="21" t="str">
        <x:v>Story Comprehension Assessment &amp; Rubric</x:v>
      </x:c>
      <x:c r="B1" s="22"/>
      <x:c r="C1" s="22"/>
      <x:c r="D1" s="22"/>
      <x:c r="E1" s="22"/>
      <x:c r="F1" s="22"/>
      <x:c r="G1" s="22"/>
      <x:c r="H1" s="22"/>
    </x:row>
    <x:row r="2" ht="34" customHeight="1">
      <x:c r="A2" s="23" t="str">
        <x:v>기존 6개 문항 유형은 유지하고 scoring / diagnostic metadata만 개정 · v1.0</x:v>
      </x:c>
      <x:c r="B2" s="22"/>
      <x:c r="C2" s="22"/>
      <x:c r="D2" s="22"/>
      <x:c r="E2" s="22"/>
      <x:c r="F2" s="22"/>
      <x:c r="G2" s="22"/>
      <x:c r="H2" s="22"/>
    </x:row>
    <x:row r="3">
      <x:c r="A3" s="22"/>
      <x:c r="B3" s="22"/>
      <x:c r="C3" s="22"/>
      <x:c r="D3" s="22"/>
      <x:c r="E3" s="22"/>
      <x:c r="F3" s="22"/>
      <x:c r="G3" s="22"/>
      <x:c r="H3" s="22"/>
    </x:row>
    <x:row r="4">
      <x:c r="A4" s="24" t="str">
        <x:v>핵심 원칙</x:v>
      </x:c>
      <x:c r="B4" s="22"/>
      <x:c r="C4" s="22"/>
      <x:c r="D4" s="22"/>
      <x:c r="E4" s="22"/>
      <x:c r="F4" s="22"/>
      <x:c r="G4" s="22"/>
      <x:c r="H4" s="22"/>
    </x:row>
    <x:row r="5">
      <x:c r="A5" s="25" t="str">
        <x:v>평가 축</x:v>
      </x:c>
      <x:c r="B5" s="25" t="str">
        <x:v>Story Element × Cognitive Process × Response Quality</x:v>
      </x:c>
      <x:c r="C5" s="22"/>
      <x:c r="D5" s="22"/>
      <x:c r="E5" s="22"/>
      <x:c r="F5" s="22"/>
      <x:c r="G5" s="22"/>
      <x:c r="H5" s="22"/>
    </x:row>
    <x:row r="6">
      <x:c r="A6" s="25" t="str">
        <x:v>응답 점수</x:v>
      </x:c>
      <x:c r="B6" s="25" t="str">
        <x:v>100 / 67 / 33 / 0의 4단계 준거참조형 보고점수</x:v>
      </x:c>
      <x:c r="C6" s="22"/>
      <x:c r="D6" s="22"/>
      <x:c r="E6" s="22"/>
      <x:c r="F6" s="22"/>
      <x:c r="G6" s="22"/>
      <x:c r="H6" s="22"/>
    </x:row>
    <x:row r="7">
      <x:c r="A7" s="25" t="str">
        <x:v>총점</x:v>
      </x:c>
      <x:c r="B7" s="25" t="str">
        <x:v>6개 문항 보고점수의 산술평균(반올림)</x:v>
      </x:c>
      <x:c r="C7" s="22"/>
      <x:c r="D7" s="22"/>
      <x:c r="E7" s="22"/>
      <x:c r="F7" s="22"/>
      <x:c r="G7" s="22"/>
      <x:c r="H7" s="22"/>
    </x:row>
    <x:row r="8">
      <x:c r="A8" s="25" t="str">
        <x:v>피드백</x:v>
      </x:c>
      <x:c r="B8" s="25" t="str">
        <x:v>총점만이 아니라 가장 낮은 기능과 선택 오개념에서 생성</x:v>
      </x:c>
      <x:c r="C8" s="22"/>
      <x:c r="D8" s="22"/>
      <x:c r="E8" s="22"/>
      <x:c r="F8" s="22"/>
      <x:c r="G8" s="22"/>
      <x:c r="H8" s="22"/>
    </x:row>
    <x:row r="9">
      <x:c r="A9" s="25" t="str">
        <x:v>제한</x:v>
      </x:c>
      <x:c r="B9" s="25" t="str">
        <x:v>표준화 검사·IRT 능력점수가 아니며, 6문항 1회로 전체 읽기 능력을 확정하지 않음</x:v>
      </x:c>
      <x:c r="C9" s="22"/>
      <x:c r="D9" s="22"/>
      <x:c r="E9" s="22"/>
      <x:c r="F9" s="22"/>
      <x:c r="G9" s="22"/>
      <x:c r="H9" s="22"/>
    </x:row>
    <x:row r="10">
      <x:c r="A10" s="22"/>
      <x:c r="B10" s="22"/>
      <x:c r="C10" s="22"/>
      <x:c r="D10" s="22"/>
      <x:c r="E10" s="22"/>
      <x:c r="F10" s="22"/>
      <x:c r="G10" s="22"/>
      <x:c r="H10" s="22"/>
    </x:row>
    <x:row r="11">
      <x:c r="A11" s="24" t="str">
        <x:v>5단계 운영 흐름</x:v>
      </x:c>
      <x:c r="B11" s="22"/>
      <x:c r="C11" s="22"/>
      <x:c r="D11" s="22"/>
      <x:c r="E11" s="22"/>
      <x:c r="F11" s="22"/>
      <x:c r="G11" s="22"/>
      <x:c r="H11" s="22"/>
    </x:row>
    <x:row r="12">
      <x:c r="A12" s="26" t="str">
        <x:v>1. Story Grammar</x:v>
      </x:c>
      <x:c r="B12" s="26" t="str">
        <x:v>→</x:v>
      </x:c>
      <x:c r="C12" s="26" t="str">
        <x:v>2. Cognitive Demand</x:v>
      </x:c>
      <x:c r="D12" s="26" t="str">
        <x:v>→</x:v>
      </x:c>
      <x:c r="E12" s="26" t="str">
        <x:v>3. Response Level</x:v>
      </x:c>
      <x:c r="F12" s="26" t="str">
        <x:v>→</x:v>
      </x:c>
      <x:c r="G12" s="26" t="str">
        <x:v>4. Skill Profile</x:v>
      </x:c>
      <x:c r="H12" s="26" t="str">
        <x:v>→ Feedback / Action</x:v>
      </x:c>
    </x:row>
    <x:row r="13">
      <x:c r="A13" s="22"/>
      <x:c r="B13" s="22"/>
      <x:c r="C13" s="22"/>
      <x:c r="D13" s="22"/>
      <x:c r="E13" s="22"/>
      <x:c r="F13" s="22"/>
      <x:c r="G13" s="22"/>
      <x:c r="H13" s="22"/>
    </x:row>
    <x:row r="14">
      <x:c r="A14" s="24" t="str">
        <x:v>전체 구간(요약값)</x:v>
      </x:c>
      <x:c r="B14" s="22"/>
      <x:c r="C14" s="22"/>
      <x:c r="D14" s="22"/>
      <x:c r="E14" s="22"/>
      <x:c r="F14" s="22"/>
      <x:c r="G14" s="22"/>
      <x:c r="H14" s="22"/>
    </x:row>
    <x:row r="15">
      <x:c r="A15" s="27" t="str">
        <x:v>구간</x:v>
      </x:c>
      <x:c r="B15" s="27" t="str">
        <x:v>점수</x:v>
      </x:c>
      <x:c r="C15" s="27" t="str">
        <x:v>해석</x:v>
      </x:c>
      <x:c r="D15" s="27" t="str">
        <x:v>학생 피드백</x:v>
      </x:c>
      <x:c r="E15" s="27" t="str">
        <x:v>학부모 관찰</x:v>
      </x:c>
      <x:c r="F15" s="27" t="str">
        <x:v>다음 활동</x:v>
      </x:c>
      <x:c r="G15" s="27" t="str">
        <x:v>사용 원칙</x:v>
      </x:c>
      <x:c r="H15" s="27" t="str">
        <x:v>주의</x:v>
      </x:c>
    </x:row>
    <x:row r="16">
      <x:c r="A16" s="25" t="str">
        <x:v>통합적 이해</x:v>
      </x:c>
      <x:c r="B16" s="25" t="str">
        <x:v>80–100</x:v>
      </x:c>
      <x:c r="C16" s="25" t="str">
        <x:v>핵심 정보와 관계를 안정적으로 연결</x:v>
      </x:c>
      <x:c r="D16" s="25" t="str">
        <x:v>중요한 이야기 정보를 잘 연결했어요.</x:v>
      </x:c>
      <x:c r="E16" s="25" t="str">
        <x:v>가장 낮은 기능에서도 근거 설명이 가능한지 확인</x:v>
      </x:c>
      <x:c r="F16" s="25" t="str">
        <x:v>근거 말하기 / 다음 이야기</x:v>
      </x:c>
      <x:c r="G16" s="25" t="str">
        <x:v>강점+취약 기능 함께 제시</x:v>
      </x:c>
      <x:c r="H16" s="25" t="str">
        <x:v>총점만으로 상위 능력 확정 금지</x:v>
      </x:c>
    </x:row>
    <x:row r="17">
      <x:c r="A17" s="25" t="str">
        <x:v>발달 중</x:v>
      </x:c>
      <x:c r="B17" s="25" t="str">
        <x:v>60–79</x:v>
      </x:c>
      <x:c r="C17" s="25" t="str">
        <x:v>주요 사건 이해, 관계 보완 필요</x:v>
      </x:c>
      <x:c r="D17" s="25" t="str">
        <x:v>주요 사건을 이해했어요. 이제 왜 일어났는지 확인해요.</x:v>
      </x:c>
      <x:c r="E17" s="25" t="str">
        <x:v>원인·결과 또는 내면 추론 확인</x:v>
      </x:c>
      <x:c r="F17" s="25" t="str">
        <x:v>Cause &amp; Effect 활동</x:v>
      </x:c>
      <x:c r="G17" s="25" t="str">
        <x:v>최저 기능 중심</x:v>
      </x:c>
      <x:c r="H17" s="25" t="str">
        <x:v>일괄 재읽기 지시 금지</x:v>
      </x:c>
    </x:row>
    <x:row r="18">
      <x:c r="A18" s="25" t="str">
        <x:v>부분적 이해</x:v>
      </x:c>
      <x:c r="B18" s="25" t="str">
        <x:v>40–59</x:v>
      </x:c>
      <x:c r="C18" s="25" t="str">
        <x:v>관련 장면 기억, 구조 연결 불완전</x:v>
      </x:c>
      <x:c r="D18" s="25" t="str">
        <x:v>일부 장면을 기억했어요.</x:v>
      </x:c>
      <x:c r="E18" s="25" t="str">
        <x:v>인물·문제·행동·결과 재구성</x:v>
      </x:c>
      <x:c r="F18" s="25" t="str">
        <x:v>Story Map</x:v>
      </x:c>
      <x:c r="G18" s="25" t="str">
        <x:v>오개념을 구체화</x:v>
      </x:c>
      <x:c r="H18" s="25" t="str">
        <x:v>주의집중·언어 요인도 고려</x:v>
      </x:c>
    </x:row>
    <x:row r="19">
      <x:c r="A19" s="25" t="str">
        <x:v>기초 지원</x:v>
      </x:c>
      <x:c r="B19" s="25" t="str">
        <x:v>0–39</x:v>
      </x:c>
      <x:c r="C19" s="25" t="str">
        <x:v>핵심 이해 증거 부족</x:v>
      </x:c>
      <x:c r="D19" s="25" t="str">
        <x:v>중요한 부분을 함께 다시 찾아봐요.</x:v>
      </x:c>
      <x:c r="E19" s="25" t="str">
        <x:v>재읽기 후 반응 변화 확인</x:v>
      </x:c>
      <x:c r="F19" s="25" t="str">
        <x:v>재읽기→핵심어→Story Map→재퀴즈</x:v>
      </x:c>
      <x:c r="G19" s="25" t="str">
        <x:v>지원 후 재평가</x:v>
      </x:c>
      <x:c r="H19" s="25" t="str">
        <x:v>전체 읽기 능력으로 일반화 금지</x:v>
      </x:c>
    </x:row>
    <x:row r="20">
      <x:c r="A20" s="22"/>
      <x:c r="B20" s="22"/>
      <x:c r="C20" s="22"/>
      <x:c r="D20" s="22"/>
      <x:c r="E20" s="22"/>
      <x:c r="F20" s="22"/>
      <x:c r="G20" s="22"/>
      <x:c r="H20" s="22"/>
    </x:row>
    <x:row r="21">
      <x:c r="A21" s="22"/>
      <x:c r="B21" s="22"/>
      <x:c r="C21" s="22"/>
      <x:c r="D21" s="22"/>
      <x:c r="E21" s="22"/>
      <x:c r="F21" s="22"/>
      <x:c r="G21" s="22"/>
      <x:c r="H21" s="22"/>
    </x:row>
    <x:row r="22">
      <x:c r="A22" s="22"/>
      <x:c r="B22" s="22"/>
      <x:c r="C22" s="22"/>
      <x:c r="D22" s="22"/>
      <x:c r="E22" s="22"/>
      <x:c r="F22" s="22"/>
      <x:c r="G22" s="22"/>
      <x:c r="H22" s="22"/>
    </x:row>
  </x:sheetData>
  <x:mergeCells>
    <x:mergeCell ref="A1:H1"/>
    <x:mergeCell ref="A2:H2"/>
    <x:mergeCell ref="A4:H4"/>
    <x:mergeCell ref="B5:H5"/>
    <x:mergeCell ref="B6:H6"/>
    <x:mergeCell ref="B7:H7"/>
    <x:mergeCell ref="B8:H8"/>
    <x:mergeCell ref="B9:H9"/>
    <x:mergeCell ref="A11:H11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8.75" hidden="0" customWidth="1"/>
    <x:col min="3" max="3" width="11.25" hidden="0" customWidth="1"/>
    <x:col min="4" max="4" width="20" hidden="0" customWidth="1"/>
    <x:col min="5" max="5" width="20" hidden="0" customWidth="1"/>
    <x:col min="6" max="6" width="37.5" hidden="0" customWidth="1"/>
    <x:col min="7" max="7" width="26.25" hidden="0" customWidth="1"/>
    <x:col min="8" max="8" width="20" hidden="0" customWidth="1"/>
    <x:col min="9" max="9" width="18.75" hidden="0" customWidth="1"/>
  </x:cols>
  <x:sheetData>
    <x:row r="1" ht="34" customHeight="1">
      <x:c r="A1" s="3" t="str">
        <x:v>공통 4단계 응답 루브릭</x:v>
      </x:c>
    </x:row>
    <x:row r="2" ht="34" customHeight="1">
      <x:c r="A2" s="7" t="str">
        <x:v>정답과의 표면 유사도가 아니라 Story Element와 관계 이해의 증거를 분류</x:v>
      </x:c>
    </x:row>
    <x:row r="4">
      <x:c r="A4" s="20" t="str">
        <x:v>Level</x:v>
      </x:c>
      <x:c r="B4" s="20" t="str">
        <x:v>Score</x:v>
      </x:c>
      <x:c r="C4" s="20" t="str">
        <x:v>Key</x:v>
      </x:c>
      <x:c r="D4" s="20" t="str">
        <x:v>Label EN</x:v>
      </x:c>
      <x:c r="E4" s="20" t="str">
        <x:v>Label KO</x:v>
      </x:c>
      <x:c r="F4" s="20" t="str">
        <x:v>정의</x:v>
      </x:c>
      <x:c r="G4" s="20" t="str">
        <x:v>판정 핵심</x:v>
      </x:c>
      <x:c r="H4" s="20" t="str">
        <x:v>후속 원칙</x:v>
      </x:c>
      <x:c r="I4" s="20" t="str">
        <x:v>측정 상태</x:v>
      </x:c>
    </x:row>
    <x:row r="5">
      <x:c r="A5" s="28" t="n">
        <x:v>3</x:v>
      </x:c>
      <x:c r="B5" s="28" t="n">
        <x:v>100</x:v>
      </x:c>
      <x:c r="C5" s="28" t="str">
        <x:v>full</x:v>
      </x:c>
      <x:c r="D5" s="28" t="str">
        <x:v>Full understanding</x:v>
      </x:c>
      <x:c r="E5" s="28" t="str">
        <x:v>정확한 이해</x:v>
      </x:c>
      <x:c r="F5" s="28" t="str">
        <x:v>문항이 요구하는 핵심 Story Element와 관계를 정확히 이해한 증거가 있습니다.</x:v>
      </x:c>
      <x:c r="G5" s="28" t="str">
        <x:v>핵심 요소+관계 정확</x:v>
      </x:c>
      <x:c r="H5" s="28" t="str">
        <x:v>확장</x:v>
      </x:c>
      <x:c r="I5" s="28" t="str">
        <x:v>운영 점수(미보정)</x:v>
      </x:c>
    </x:row>
    <x:row r="6">
      <x:c r="A6" s="29" t="n">
        <x:v>2</x:v>
      </x:c>
      <x:c r="B6" s="29" t="n">
        <x:v>67</x:v>
      </x:c>
      <x:c r="C6" s="29" t="str">
        <x:v>partial</x:v>
      </x:c>
      <x:c r="D6" s="29" t="str">
        <x:v>Partial understanding</x:v>
      </x:c>
      <x:c r="E6" s="29" t="str">
        <x:v>부분 이해</x:v>
      </x:c>
      <x:c r="F6" s="29" t="str">
        <x:v>핵심 정보는 파악했지만 순서·관계·세부 단서 일부가 불완전합니다.</x:v>
      </x:c>
      <x:c r="G6" s="29" t="str">
        <x:v>핵심 보존+일부 불완전</x:v>
      </x:c>
      <x:c r="H6" s="29" t="str">
        <x:v>단서 확인</x:v>
      </x:c>
      <x:c r="I6" s="29" t="str">
        <x:v>운영 점수(미보정)</x:v>
      </x:c>
    </x:row>
    <x:row r="7">
      <x:c r="A7" s="30" t="n">
        <x:v>1</x:v>
      </x:c>
      <x:c r="B7" s="30" t="n">
        <x:v>33</x:v>
      </x:c>
      <x:c r="C7" s="30" t="str">
        <x:v>related</x:v>
      </x:c>
      <x:c r="D7" s="30" t="str">
        <x:v>Related but misunderstood</x:v>
      </x:c>
      <x:c r="E7" s="30" t="str">
        <x:v>관련 정보 인식·관계 오해</x:v>
      </x:c>
      <x:c r="F7" s="30" t="str">
        <x:v>이야기의 관련 요소는 인식했지만 질문이 요구한 핵심 관계를 잘못 연결했습니다.</x:v>
      </x:c>
      <x:c r="G7" s="30" t="str">
        <x:v>관련 요소 인식+관계 오해</x:v>
      </x:c>
      <x:c r="H7" s="30" t="str">
        <x:v>관계 재구성</x:v>
      </x:c>
      <x:c r="I7" s="30" t="str">
        <x:v>운영 점수(미보정)</x:v>
      </x:c>
    </x:row>
    <x:row r="8">
      <x:c r="A8" s="31" t="n">
        <x:v>0</x:v>
      </x:c>
      <x:c r="B8" s="31" t="n">
        <x:v>0</x:v>
      </x:c>
      <x:c r="C8" s="31" t="str">
        <x:v>none</x:v>
      </x:c>
      <x:c r="D8" s="31" t="str">
        <x:v>No evidence</x:v>
      </x:c>
      <x:c r="E8" s="31" t="str">
        <x:v>이해 증거 없음</x:v>
      </x:c>
      <x:c r="F8" s="31" t="str">
        <x:v>응답하지 않았거나 문항의 핵심 이해를 뒷받침하는 증거가 없습니다.</x:v>
      </x:c>
      <x:c r="G8" s="31" t="str">
        <x:v>무응답·무관·증거 없음</x:v>
      </x:c>
      <x:c r="H8" s="31" t="str">
        <x:v>재읽기·공동 탐색</x:v>
      </x:c>
      <x:c r="I8" s="31" t="str">
        <x:v>운영 점수(미보정)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21.25" hidden="0" customWidth="1"/>
    <x:col min="3" max="3" width="13.130000114440918" hidden="0" customWidth="1"/>
    <x:col min="4" max="4" width="23.75" hidden="0" customWidth="1"/>
    <x:col min="5" max="5" width="18.75" hidden="0" customWidth="1"/>
    <x:col min="6" max="6" width="13.130000114440918" hidden="0" customWidth="1"/>
    <x:col min="7" max="7" width="26.25" hidden="0" customWidth="1"/>
    <x:col min="8" max="8" width="6.880000114440918" hidden="0" customWidth="1"/>
    <x:col min="9" max="9" width="6.880000114440918" hidden="0" customWidth="1"/>
    <x:col min="10" max="10" width="19.3799991607666" hidden="0" customWidth="1"/>
    <x:col min="11" max="11" width="20" hidden="0" customWidth="1"/>
    <x:col min="12" max="12" width="31.25" hidden="0" customWidth="1"/>
    <x:col min="13" max="13" width="23.75" hidden="0" customWidth="1"/>
    <x:col min="14" max="14" width="38.75" hidden="0" customWidth="1"/>
  </x:cols>
  <x:sheetData>
    <x:row r="1" ht="34" customHeight="1">
      <x:c r="A1" s="3" t="str">
        <x:v>문항별 채점·진단 기준</x:v>
      </x:c>
    </x:row>
    <x:row r="2" ht="34" customHeight="1">
      <x:c r="A2" s="7" t="str">
        <x:v>문항 유형·질문·선택지는 변경하지 않음</x:v>
      </x:c>
    </x:row>
    <x:row r="4">
      <x:c r="A4" s="20" t="str">
        <x:v>문항</x:v>
      </x:c>
      <x:c r="B4" s="20" t="str">
        <x:v>유형</x:v>
      </x:c>
      <x:c r="C4" s="20" t="str">
        <x:v>Story Grammar</x:v>
      </x:c>
      <x:c r="D4" s="20" t="str">
        <x:v>Story Element</x:v>
      </x:c>
      <x:c r="E4" s="20" t="str">
        <x:v>Cognitive Target</x:v>
      </x:c>
      <x:c r="F4" s="20" t="str">
        <x:v>Operational Skill</x:v>
      </x:c>
      <x:c r="G4" s="20" t="str">
        <x:v>Skill Tags</x:v>
      </x:c>
      <x:c r="H4" s="20" t="str">
        <x:v>Level</x:v>
      </x:c>
      <x:c r="I4" s="20" t="str">
        <x:v>Score</x:v>
      </x:c>
      <x:c r="J4" s="20" t="str">
        <x:v>현재 적용</x:v>
      </x:c>
      <x:c r="K4" s="20" t="str">
        <x:v>해석</x:v>
      </x:c>
      <x:c r="L4" s="20" t="str">
        <x:v>증거 규칙</x:v>
      </x:c>
      <x:c r="M4" s="20" t="str">
        <x:v>오개념 유형</x:v>
      </x:c>
      <x:c r="N4" s="20" t="str">
        <x:v>추천 활동</x:v>
      </x:c>
    </x:row>
    <x:row r="5">
      <x:c r="A5" s="28" t="str">
        <x:v>Q1</x:v>
      </x:c>
      <x:c r="B5" s="28" t="str">
        <x:v>story_sequence_drag</x:v>
      </x:c>
      <x:c r="C5" s="28" t="str">
        <x:v>consequence</x:v>
      </x:c>
      <x:c r="D5" s="28" t="str">
        <x:v>Consequence / Event sequence</x:v>
      </x:c>
      <x:c r="E5" s="28" t="str">
        <x:v>Integrate and Interpret</x:v>
      </x:c>
      <x:c r="F5" s="28" t="str">
        <x:v>Sequence</x:v>
      </x:c>
      <x:c r="G5" s="28" t="str">
        <x:v>Story Structure, Sequence, Cause &amp; Effect</x:v>
      </x:c>
      <x:c r="H5" s="28" t="n">
        <x:v>3</x:v>
      </x:c>
      <x:c r="I5" s="28" t="n">
        <x:v>100</x:v>
      </x:c>
      <x:c r="J5" s="28" t="str">
        <x:v>현재 가능</x:v>
      </x:c>
      <x:c r="K5" s="28" t="str">
        <x:v>정확한 이해</x:v>
      </x:c>
      <x:c r="L5" s="28" t="str">
        <x:v>LCS=5/5</x:v>
      </x:c>
      <x:c r="M5" s="28" t="str">
        <x:v>none</x:v>
      </x:c>
      <x:c r="N5" s="28" t="str">
        <x:v>다음 이야기로 이동하거나 사건의 원인과 결과를 말로 설명합니다.</x:v>
      </x:c>
    </x:row>
    <x:row r="6">
      <x:c r="A6" s="29" t="str">
        <x:v>Q1</x:v>
      </x:c>
      <x:c r="B6" s="29" t="str">
        <x:v>story_sequence_drag</x:v>
      </x:c>
      <x:c r="C6" s="29" t="str">
        <x:v>consequence</x:v>
      </x:c>
      <x:c r="D6" s="29" t="str">
        <x:v>Consequence / Event sequence</x:v>
      </x:c>
      <x:c r="E6" s="29" t="str">
        <x:v>Integrate and Interpret</x:v>
      </x:c>
      <x:c r="F6" s="29" t="str">
        <x:v>Sequence</x:v>
      </x:c>
      <x:c r="G6" s="29" t="str">
        <x:v>Story Structure, Sequence, Cause &amp; Effect</x:v>
      </x:c>
      <x:c r="H6" s="29" t="n">
        <x:v>2</x:v>
      </x:c>
      <x:c r="I6" s="29" t="n">
        <x:v>67</x:v>
      </x:c>
      <x:c r="J6" s="29" t="str">
        <x:v>현재 가능</x:v>
      </x:c>
      <x:c r="K6" s="29" t="str">
        <x:v>부분 이해</x:v>
      </x:c>
      <x:c r="L6" s="29" t="str">
        <x:v>LCS=4/5</x:v>
      </x:c>
      <x:c r="M6" s="29" t="str">
        <x:v>local_sequence_gap</x:v>
      </x:c>
      <x:c r="N6" s="29" t="str">
        <x:v>처음과 마지막 장면을 고정하고, 흔들린 중간 장면 두 개의 앞뒤를 다시 확인합니다.</x:v>
      </x:c>
    </x:row>
    <x:row r="7">
      <x:c r="A7" s="30" t="str">
        <x:v>Q1</x:v>
      </x:c>
      <x:c r="B7" s="30" t="str">
        <x:v>story_sequence_drag</x:v>
      </x:c>
      <x:c r="C7" s="30" t="str">
        <x:v>consequence</x:v>
      </x:c>
      <x:c r="D7" s="30" t="str">
        <x:v>Consequence / Event sequence</x:v>
      </x:c>
      <x:c r="E7" s="30" t="str">
        <x:v>Integrate and Interpret</x:v>
      </x:c>
      <x:c r="F7" s="30" t="str">
        <x:v>Sequence</x:v>
      </x:c>
      <x:c r="G7" s="30" t="str">
        <x:v>Story Structure, Sequence, Cause &amp; Effect</x:v>
      </x:c>
      <x:c r="H7" s="30" t="n">
        <x:v>1</x:v>
      </x:c>
      <x:c r="I7" s="30" t="n">
        <x:v>33</x:v>
      </x:c>
      <x:c r="J7" s="30" t="str">
        <x:v>현재 가능</x:v>
      </x:c>
      <x:c r="K7" s="30" t="str">
        <x:v>관련 정보 인식·관계 오해</x:v>
      </x:c>
      <x:c r="L7" s="30" t="str">
        <x:v>LCS=2–3/5</x:v>
      </x:c>
      <x:c r="M7" s="30" t="str">
        <x:v>event_relation_confusion</x:v>
      </x:c>
      <x:c r="N7" s="30" t="str">
        <x:v>Story Map에서 처음-문제-행동-결과를 연결한 뒤 다시 배열합니다.</x:v>
      </x:c>
    </x:row>
    <x:row r="8">
      <x:c r="A8" s="31" t="str">
        <x:v>Q1</x:v>
      </x:c>
      <x:c r="B8" s="31" t="str">
        <x:v>story_sequence_drag</x:v>
      </x:c>
      <x:c r="C8" s="31" t="str">
        <x:v>consequence</x:v>
      </x:c>
      <x:c r="D8" s="31" t="str">
        <x:v>Consequence / Event sequence</x:v>
      </x:c>
      <x:c r="E8" s="31" t="str">
        <x:v>Integrate and Interpret</x:v>
      </x:c>
      <x:c r="F8" s="31" t="str">
        <x:v>Sequence</x:v>
      </x:c>
      <x:c r="G8" s="31" t="str">
        <x:v>Story Structure, Sequence, Cause &amp; Effect</x:v>
      </x:c>
      <x:c r="H8" s="31" t="n">
        <x:v>0</x:v>
      </x:c>
      <x:c r="I8" s="31" t="n">
        <x:v>0</x:v>
      </x:c>
      <x:c r="J8" s="31" t="str">
        <x:v>현재 가능</x:v>
      </x:c>
      <x:c r="K8" s="31" t="str">
        <x:v>이해 증거 없음</x:v>
      </x:c>
      <x:c r="L8" s="31" t="str">
        <x:v>LCS=0–1/5 또는 무응답</x:v>
      </x:c>
      <x:c r="M8" s="31" t="str">
        <x:v>no_sequence_evidence</x:v>
      </x:c>
      <x:c r="N8" s="31" t="str">
        <x:v>이야기를 다시 읽고 핵심 장면을 한 장씩 말한 뒤 재시도합니다.</x:v>
      </x:c>
    </x:row>
    <x:row r="9">
      <x:c r="A9" s="28" t="str">
        <x:v>Q2</x:v>
      </x:c>
      <x:c r="B9" s="28" t="str">
        <x:v>setting_slot_drag</x:v>
      </x:c>
      <x:c r="C9" s="28" t="str">
        <x:v>setting</x:v>
      </x:c>
      <x:c r="D9" s="28" t="str">
        <x:v>Setting</x:v>
      </x:c>
      <x:c r="E9" s="28" t="str">
        <x:v>Locate and Recall</x:v>
      </x:c>
      <x:c r="F9" s="28" t="str">
        <x:v>Identify</x:v>
      </x:c>
      <x:c r="G9" s="28" t="str">
        <x:v>Story Structure, Setting, Locate &amp; Recall</x:v>
      </x:c>
      <x:c r="H9" s="28" t="n">
        <x:v>3</x:v>
      </x:c>
      <x:c r="I9" s="28" t="n">
        <x:v>100</x:v>
      </x:c>
      <x:c r="J9" s="28" t="str">
        <x:v>현재 가능</x:v>
      </x:c>
      <x:c r="K9" s="28" t="str">
        <x:v>정확한 이해</x:v>
      </x:c>
      <x:c r="L9" s="28" t="str">
        <x:v>3/3 요소 정확</x:v>
      </x:c>
      <x:c r="M9" s="28" t="str">
        <x:v>none</x:v>
      </x:c>
      <x:c r="N9" s="28" t="str">
        <x:v>첫 장면의 인물·장소·처음 상황을 한 문장으로 설명합니다.</x:v>
      </x:c>
    </x:row>
    <x:row r="10">
      <x:c r="A10" s="29" t="str">
        <x:v>Q2</x:v>
      </x:c>
      <x:c r="B10" s="29" t="str">
        <x:v>setting_slot_drag</x:v>
      </x:c>
      <x:c r="C10" s="29" t="str">
        <x:v>setting</x:v>
      </x:c>
      <x:c r="D10" s="29" t="str">
        <x:v>Setting</x:v>
      </x:c>
      <x:c r="E10" s="29" t="str">
        <x:v>Locate and Recall</x:v>
      </x:c>
      <x:c r="F10" s="29" t="str">
        <x:v>Identify</x:v>
      </x:c>
      <x:c r="G10" s="29" t="str">
        <x:v>Story Structure, Setting, Locate &amp; Recall</x:v>
      </x:c>
      <x:c r="H10" s="29" t="n">
        <x:v>2</x:v>
      </x:c>
      <x:c r="I10" s="29" t="n">
        <x:v>67</x:v>
      </x:c>
      <x:c r="J10" s="29" t="str">
        <x:v>현재 가능</x:v>
      </x:c>
      <x:c r="K10" s="29" t="str">
        <x:v>부분 이해</x:v>
      </x:c>
      <x:c r="L10" s="29" t="str">
        <x:v>2/3 요소 정확</x:v>
      </x:c>
      <x:c r="M10" s="29" t="str">
        <x:v>one_setting_element_gap</x:v>
      </x:c>
      <x:c r="N10" s="29" t="str">
        <x:v>틀린 한 요소를 첫 장면에서 다시 찾아 표시합니다.</x:v>
      </x:c>
    </x:row>
    <x:row r="11">
      <x:c r="A11" s="30" t="str">
        <x:v>Q2</x:v>
      </x:c>
      <x:c r="B11" s="30" t="str">
        <x:v>setting_slot_drag</x:v>
      </x:c>
      <x:c r="C11" s="30" t="str">
        <x:v>setting</x:v>
      </x:c>
      <x:c r="D11" s="30" t="str">
        <x:v>Setting</x:v>
      </x:c>
      <x:c r="E11" s="30" t="str">
        <x:v>Locate and Recall</x:v>
      </x:c>
      <x:c r="F11" s="30" t="str">
        <x:v>Identify</x:v>
      </x:c>
      <x:c r="G11" s="30" t="str">
        <x:v>Story Structure, Setting, Locate &amp; Recall</x:v>
      </x:c>
      <x:c r="H11" s="30" t="n">
        <x:v>1</x:v>
      </x:c>
      <x:c r="I11" s="30" t="n">
        <x:v>33</x:v>
      </x:c>
      <x:c r="J11" s="30" t="str">
        <x:v>현재 가능</x:v>
      </x:c>
      <x:c r="K11" s="30" t="str">
        <x:v>관련 정보 인식·관계 오해</x:v>
      </x:c>
      <x:c r="L11" s="30" t="str">
        <x:v>1/3 요소 정확</x:v>
      </x:c>
      <x:c r="M11" s="30" t="str">
        <x:v>setting_element_confusion</x:v>
      </x:c>
      <x:c r="N11" s="30" t="str">
        <x:v>Who / Where / At first를 색으로 나누어 Story Map에 적습니다.</x:v>
      </x:c>
    </x:row>
    <x:row r="12">
      <x:c r="A12" s="31" t="str">
        <x:v>Q2</x:v>
      </x:c>
      <x:c r="B12" s="31" t="str">
        <x:v>setting_slot_drag</x:v>
      </x:c>
      <x:c r="C12" s="31" t="str">
        <x:v>setting</x:v>
      </x:c>
      <x:c r="D12" s="31" t="str">
        <x:v>Setting</x:v>
      </x:c>
      <x:c r="E12" s="31" t="str">
        <x:v>Locate and Recall</x:v>
      </x:c>
      <x:c r="F12" s="31" t="str">
        <x:v>Identify</x:v>
      </x:c>
      <x:c r="G12" s="31" t="str">
        <x:v>Story Structure, Setting, Locate &amp; Recall</x:v>
      </x:c>
      <x:c r="H12" s="31" t="n">
        <x:v>0</x:v>
      </x:c>
      <x:c r="I12" s="31" t="n">
        <x:v>0</x:v>
      </x:c>
      <x:c r="J12" s="31" t="str">
        <x:v>현재 가능</x:v>
      </x:c>
      <x:c r="K12" s="31" t="str">
        <x:v>이해 증거 없음</x:v>
      </x:c>
      <x:c r="L12" s="31" t="str">
        <x:v>0/3 요소 정확 또는 무응답</x:v>
      </x:c>
      <x:c r="M12" s="31" t="str">
        <x:v>no_setting_evidence</x:v>
      </x:c>
      <x:c r="N12" s="31" t="str">
        <x:v>첫 장면을 다시 보고 인물부터 함께 찾은 뒤 장소와 상황으로 확장합니다.</x:v>
      </x:c>
    </x:row>
    <x:row r="13">
      <x:c r="A13" s="28" t="str">
        <x:v>Q3</x:v>
      </x:c>
      <x:c r="B13" s="28" t="str">
        <x:v>listen_scene_mcq</x:v>
      </x:c>
      <x:c r="C13" s="28" t="str">
        <x:v>initiating_event</x:v>
      </x:c>
      <x:c r="D13" s="28" t="str">
        <x:v>Initiating Event / Problem</x:v>
      </x:c>
      <x:c r="E13" s="28" t="str">
        <x:v>Integrate and Interpret</x:v>
      </x:c>
      <x:c r="F13" s="28" t="str">
        <x:v>Connect</x:v>
      </x:c>
      <x:c r="G13" s="28" t="str">
        <x:v>Story Structure, Problem, Cause &amp; Effect, Listening</x:v>
      </x:c>
      <x:c r="H13" s="28" t="n">
        <x:v>3</x:v>
      </x:c>
      <x:c r="I13" s="28" t="n">
        <x:v>100</x:v>
      </x:c>
      <x:c r="J13" s="28" t="str">
        <x:v>현재 가능</x:v>
      </x:c>
      <x:c r="K13" s="28" t="str">
        <x:v>정확한 이해</x:v>
      </x:c>
      <x:c r="L13" s="28" t="str">
        <x:v>선택지에 사전 코딩된 Story Element·관계 이해 수준</x:v>
      </x:c>
      <x:c r="M13" s="28" t="str">
        <x:v>none</x:v>
      </x:c>
      <x:c r="N13" s="28" t="str">
        <x:v>문제가 시작된 까닭과 다음 사건을 연결해 말합니다.</x:v>
      </x:c>
    </x:row>
    <x:row r="14">
      <x:c r="A14" s="29" t="str">
        <x:v>Q3</x:v>
      </x:c>
      <x:c r="B14" s="29" t="str">
        <x:v>listen_scene_mcq</x:v>
      </x:c>
      <x:c r="C14" s="29" t="str">
        <x:v>initiating_event</x:v>
      </x:c>
      <x:c r="D14" s="29" t="str">
        <x:v>Initiating Event / Problem</x:v>
      </x:c>
      <x:c r="E14" s="29" t="str">
        <x:v>Integrate and Interpret</x:v>
      </x:c>
      <x:c r="F14" s="29" t="str">
        <x:v>Connect</x:v>
      </x:c>
      <x:c r="G14" s="29" t="str">
        <x:v>Story Structure, Problem, Cause &amp; Effect, Listening</x:v>
      </x:c>
      <x:c r="H14" s="29" t="n">
        <x:v>2</x:v>
      </x:c>
      <x:c r="I14" s="29" t="n">
        <x:v>67</x:v>
      </x:c>
      <x:c r="J14" s="29" t="str">
        <x:v>예비 기준(현재 선택지 없음)</x:v>
      </x:c>
      <x:c r="K14" s="29" t="str">
        <x:v>부분 이해</x:v>
      </x:c>
      <x:c r="L14" s="29" t="str">
        <x:v>선택지에 사전 코딩된 Story Element·관계 이해 수준</x:v>
      </x:c>
      <x:c r="M14" s="29" t="str">
        <x:v>partial_problem_relation</x:v>
      </x:c>
      <x:c r="N14" s="29" t="str">
        <x:v>문제의 단서는 찾았으므로, 그 단서가 어떤 변화를 일으켰는지 확인합니다.</x:v>
      </x:c>
    </x:row>
    <x:row r="15">
      <x:c r="A15" s="30" t="str">
        <x:v>Q3</x:v>
      </x:c>
      <x:c r="B15" s="30" t="str">
        <x:v>listen_scene_mcq</x:v>
      </x:c>
      <x:c r="C15" s="30" t="str">
        <x:v>initiating_event</x:v>
      </x:c>
      <x:c r="D15" s="30" t="str">
        <x:v>Initiating Event / Problem</x:v>
      </x:c>
      <x:c r="E15" s="30" t="str">
        <x:v>Integrate and Interpret</x:v>
      </x:c>
      <x:c r="F15" s="30" t="str">
        <x:v>Connect</x:v>
      </x:c>
      <x:c r="G15" s="30" t="str">
        <x:v>Story Structure, Problem, Cause &amp; Effect, Listening</x:v>
      </x:c>
      <x:c r="H15" s="30" t="n">
        <x:v>1</x:v>
      </x:c>
      <x:c r="I15" s="30" t="n">
        <x:v>33</x:v>
      </x:c>
      <x:c r="J15" s="30" t="str">
        <x:v>현재 가능</x:v>
      </x:c>
      <x:c r="K15" s="30" t="str">
        <x:v>관련 정보 인식·관계 오해</x:v>
      </x:c>
      <x:c r="L15" s="30" t="str">
        <x:v>선택지에 사전 코딩된 Story Element·관계 이해 수준</x:v>
      </x:c>
      <x:c r="M15" s="30" t="str">
        <x:v>story_phase_confusion</x:v>
      </x:c>
      <x:c r="N15" s="30" t="str">
        <x:v>배경·문제 시작·결과·해결 장면을 네 칸으로 나누어 비교합니다.</x:v>
      </x:c>
    </x:row>
    <x:row r="16">
      <x:c r="A16" s="31" t="str">
        <x:v>Q3</x:v>
      </x:c>
      <x:c r="B16" s="31" t="str">
        <x:v>listen_scene_mcq</x:v>
      </x:c>
      <x:c r="C16" s="31" t="str">
        <x:v>initiating_event</x:v>
      </x:c>
      <x:c r="D16" s="31" t="str">
        <x:v>Initiating Event / Problem</x:v>
      </x:c>
      <x:c r="E16" s="31" t="str">
        <x:v>Integrate and Interpret</x:v>
      </x:c>
      <x:c r="F16" s="31" t="str">
        <x:v>Connect</x:v>
      </x:c>
      <x:c r="G16" s="31" t="str">
        <x:v>Story Structure, Problem, Cause &amp; Effect, Listening</x:v>
      </x:c>
      <x:c r="H16" s="31" t="n">
        <x:v>0</x:v>
      </x:c>
      <x:c r="I16" s="31" t="n">
        <x:v>0</x:v>
      </x:c>
      <x:c r="J16" s="31" t="str">
        <x:v>현재 가능</x:v>
      </x:c>
      <x:c r="K16" s="31" t="str">
        <x:v>이해 증거 없음</x:v>
      </x:c>
      <x:c r="L16" s="31" t="str">
        <x:v>선택지에 사전 코딩된 Story Element·관계 이해 수준</x:v>
      </x:c>
      <x:c r="M16" s="31" t="str">
        <x:v>no_problem_evidence</x:v>
      </x:c>
      <x:c r="N16" s="31" t="str">
        <x:v>오디오를 다시 듣고 ‘처음 큰 변화’가 생기는 장면을 함께 찾습니다.</x:v>
      </x:c>
    </x:row>
    <x:row r="17">
      <x:c r="A17" s="28" t="str">
        <x:v>Q4</x:v>
      </x:c>
      <x:c r="B17" s="28" t="str">
        <x:v>scene_word_unscramble</x:v>
      </x:c>
      <x:c r="C17" s="28" t="str">
        <x:v>attempt</x:v>
      </x:c>
      <x:c r="D17" s="28" t="str">
        <x:v>Attempt</x:v>
      </x:c>
      <x:c r="E17" s="28" t="str">
        <x:v>Integrate and Interpret</x:v>
      </x:c>
      <x:c r="F17" s="28" t="str">
        <x:v>Sequence</x:v>
      </x:c>
      <x:c r="G17" s="28" t="str">
        <x:v>Story Structure, Attempt, Sequence</x:v>
      </x:c>
      <x:c r="H17" s="28" t="n">
        <x:v>3</x:v>
      </x:c>
      <x:c r="I17" s="28" t="n">
        <x:v>100</x:v>
      </x:c>
      <x:c r="J17" s="28" t="str">
        <x:v>현재 가능</x:v>
      </x:c>
      <x:c r="K17" s="28" t="str">
        <x:v>정확한 이해</x:v>
      </x:c>
      <x:c r="L17" s="28" t="str">
        <x:v>전체 어절 순서 정확</x:v>
      </x:c>
      <x:c r="M17" s="28" t="str">
        <x:v>none</x:v>
      </x:c>
      <x:c r="N17" s="28" t="str">
        <x:v>인물의 행동이 문제 해결에 어떻게 연결되는지 말합니다.</x:v>
      </x:c>
    </x:row>
    <x:row r="18">
      <x:c r="A18" s="29" t="str">
        <x:v>Q4</x:v>
      </x:c>
      <x:c r="B18" s="29" t="str">
        <x:v>scene_word_unscramble</x:v>
      </x:c>
      <x:c r="C18" s="29" t="str">
        <x:v>attempt</x:v>
      </x:c>
      <x:c r="D18" s="29" t="str">
        <x:v>Attempt</x:v>
      </x:c>
      <x:c r="E18" s="29" t="str">
        <x:v>Integrate and Interpret</x:v>
      </x:c>
      <x:c r="F18" s="29" t="str">
        <x:v>Sequence</x:v>
      </x:c>
      <x:c r="G18" s="29" t="str">
        <x:v>Story Structure, Attempt, Sequence</x:v>
      </x:c>
      <x:c r="H18" s="29" t="n">
        <x:v>2</x:v>
      </x:c>
      <x:c r="I18" s="29" t="n">
        <x:v>67</x:v>
      </x:c>
      <x:c r="J18" s="29" t="str">
        <x:v>현재 가능</x:v>
      </x:c>
      <x:c r="K18" s="29" t="str">
        <x:v>부분 이해</x:v>
      </x:c>
      <x:c r="L18" s="29" t="str">
        <x:v>정답과의 최장 공통 순서가 전체의 75% 이상</x:v>
      </x:c>
      <x:c r="M18" s="29" t="str">
        <x:v>local_action_order_gap</x:v>
      </x:c>
      <x:c r="N18" s="29" t="str">
        <x:v>유지된 문장 덩어리는 그대로 두고, 흔들린 어절의 위치만 다시 확인합니다.</x:v>
      </x:c>
    </x:row>
    <x:row r="19">
      <x:c r="A19" s="30" t="str">
        <x:v>Q4</x:v>
      </x:c>
      <x:c r="B19" s="30" t="str">
        <x:v>scene_word_unscramble</x:v>
      </x:c>
      <x:c r="C19" s="30" t="str">
        <x:v>attempt</x:v>
      </x:c>
      <x:c r="D19" s="30" t="str">
        <x:v>Attempt</x:v>
      </x:c>
      <x:c r="E19" s="30" t="str">
        <x:v>Integrate and Interpret</x:v>
      </x:c>
      <x:c r="F19" s="30" t="str">
        <x:v>Sequence</x:v>
      </x:c>
      <x:c r="G19" s="30" t="str">
        <x:v>Story Structure, Attempt, Sequence</x:v>
      </x:c>
      <x:c r="H19" s="30" t="n">
        <x:v>1</x:v>
      </x:c>
      <x:c r="I19" s="30" t="n">
        <x:v>33</x:v>
      </x:c>
      <x:c r="J19" s="30" t="str">
        <x:v>현재 가능</x:v>
      </x:c>
      <x:c r="K19" s="30" t="str">
        <x:v>관련 정보 인식·관계 오해</x:v>
      </x:c>
      <x:c r="L19" s="30" t="str">
        <x:v>정답과의 최장 공통 순서가 전체의 40% 이상</x:v>
      </x:c>
      <x:c r="M19" s="30" t="str">
        <x:v>action_relation_confusion</x:v>
      </x:c>
      <x:c r="N19" s="30" t="str">
        <x:v>그림을 보고 ‘누가-무엇을 했다’를 먼저 말한 뒤 문장을 다시 배열합니다.</x:v>
      </x:c>
    </x:row>
    <x:row r="20">
      <x:c r="A20" s="31" t="str">
        <x:v>Q4</x:v>
      </x:c>
      <x:c r="B20" s="31" t="str">
        <x:v>scene_word_unscramble</x:v>
      </x:c>
      <x:c r="C20" s="31" t="str">
        <x:v>attempt</x:v>
      </x:c>
      <x:c r="D20" s="31" t="str">
        <x:v>Attempt</x:v>
      </x:c>
      <x:c r="E20" s="31" t="str">
        <x:v>Integrate and Interpret</x:v>
      </x:c>
      <x:c r="F20" s="31" t="str">
        <x:v>Sequence</x:v>
      </x:c>
      <x:c r="G20" s="31" t="str">
        <x:v>Story Structure, Attempt, Sequence</x:v>
      </x:c>
      <x:c r="H20" s="31" t="n">
        <x:v>0</x:v>
      </x:c>
      <x:c r="I20" s="31" t="n">
        <x:v>0</x:v>
      </x:c>
      <x:c r="J20" s="31" t="str">
        <x:v>현재 가능</x:v>
      </x:c>
      <x:c r="K20" s="31" t="str">
        <x:v>이해 증거 없음</x:v>
      </x:c>
      <x:c r="L20" s="31" t="str">
        <x:v>공통 순서가 40% 미만 또는 무응답</x:v>
      </x:c>
      <x:c r="M20" s="31" t="str">
        <x:v>no_action_evidence</x:v>
      </x:c>
      <x:c r="N20" s="31" t="str">
        <x:v>핵심 인물과 행동어를 먼저 찾고 짧은 구로 묶어 재시도합니다.</x:v>
      </x:c>
    </x:row>
    <x:row r="21">
      <x:c r="A21" s="28" t="str">
        <x:v>Q5</x:v>
      </x:c>
      <x:c r="B21" s="28" t="str">
        <x:v>emotion_mcq</x:v>
      </x:c>
      <x:c r="C21" s="28" t="str">
        <x:v>reaction</x:v>
      </x:c>
      <x:c r="D21" s="28" t="str">
        <x:v>Reaction</x:v>
      </x:c>
      <x:c r="E21" s="28" t="str">
        <x:v>Integrate and Interpret</x:v>
      </x:c>
      <x:c r="F21" s="28" t="str">
        <x:v>Infer</x:v>
      </x:c>
      <x:c r="G21" s="28" t="str">
        <x:v>Character State, Emotion, Inference</x:v>
      </x:c>
      <x:c r="H21" s="28" t="n">
        <x:v>3</x:v>
      </x:c>
      <x:c r="I21" s="28" t="n">
        <x:v>100</x:v>
      </x:c>
      <x:c r="J21" s="28" t="str">
        <x:v>현재 가능</x:v>
      </x:c>
      <x:c r="K21" s="28" t="str">
        <x:v>정확한 이해</x:v>
      </x:c>
      <x:c r="L21" s="28" t="str">
        <x:v>선택지에 사전 코딩된 Story Element·관계 이해 수준</x:v>
      </x:c>
      <x:c r="M21" s="28" t="str">
        <x:v>none</x:v>
      </x:c>
      <x:c r="N21" s="28" t="str">
        <x:v>감정을 뒷받침하는 장면 단서를 한 가지 말합니다.</x:v>
      </x:c>
    </x:row>
    <x:row r="22">
      <x:c r="A22" s="29" t="str">
        <x:v>Q5</x:v>
      </x:c>
      <x:c r="B22" s="29" t="str">
        <x:v>emotion_mcq</x:v>
      </x:c>
      <x:c r="C22" s="29" t="str">
        <x:v>reaction</x:v>
      </x:c>
      <x:c r="D22" s="29" t="str">
        <x:v>Reaction</x:v>
      </x:c>
      <x:c r="E22" s="29" t="str">
        <x:v>Integrate and Interpret</x:v>
      </x:c>
      <x:c r="F22" s="29" t="str">
        <x:v>Infer</x:v>
      </x:c>
      <x:c r="G22" s="29" t="str">
        <x:v>Character State, Emotion, Inference</x:v>
      </x:c>
      <x:c r="H22" s="29" t="n">
        <x:v>2</x:v>
      </x:c>
      <x:c r="I22" s="29" t="n">
        <x:v>67</x:v>
      </x:c>
      <x:c r="J22" s="29" t="str">
        <x:v>현재 가능</x:v>
      </x:c>
      <x:c r="K22" s="29" t="str">
        <x:v>부분 이해</x:v>
      </x:c>
      <x:c r="L22" s="29" t="str">
        <x:v>선택지에 사전 코딩된 Story Element·관계 이해 수준</x:v>
      </x:c>
      <x:c r="M22" s="29" t="str">
        <x:v>emotion_specificity_confusion</x:v>
      </x:c>
      <x:c r="N22" s="29" t="str">
        <x:v>감정의 방향은 맞았으므로 표정·사건 단서로 정확한 감정어를 구분합니다.</x:v>
      </x:c>
    </x:row>
    <x:row r="23">
      <x:c r="A23" s="30" t="str">
        <x:v>Q5</x:v>
      </x:c>
      <x:c r="B23" s="30" t="str">
        <x:v>emotion_mcq</x:v>
      </x:c>
      <x:c r="C23" s="30" t="str">
        <x:v>reaction</x:v>
      </x:c>
      <x:c r="D23" s="30" t="str">
        <x:v>Reaction</x:v>
      </x:c>
      <x:c r="E23" s="30" t="str">
        <x:v>Integrate and Interpret</x:v>
      </x:c>
      <x:c r="F23" s="30" t="str">
        <x:v>Infer</x:v>
      </x:c>
      <x:c r="G23" s="30" t="str">
        <x:v>Character State, Emotion, Inference</x:v>
      </x:c>
      <x:c r="H23" s="30" t="n">
        <x:v>1</x:v>
      </x:c>
      <x:c r="I23" s="30" t="n">
        <x:v>33</x:v>
      </x:c>
      <x:c r="J23" s="30" t="str">
        <x:v>현재 가능</x:v>
      </x:c>
      <x:c r="K23" s="30" t="str">
        <x:v>관련 정보 인식·관계 오해</x:v>
      </x:c>
      <x:c r="L23" s="30" t="str">
        <x:v>선택지에 사전 코딩된 Story Element·관계 이해 수준</x:v>
      </x:c>
      <x:c r="M23" s="30" t="str">
        <x:v>story_phase_emotion_confusion</x:v>
      </x:c>
      <x:c r="N23" s="30" t="str">
        <x:v>현재 장면과 다른 장면의 감정을 비교하고, 언제 감정이 바뀌었는지 찾습니다.</x:v>
      </x:c>
    </x:row>
    <x:row r="24">
      <x:c r="A24" s="31" t="str">
        <x:v>Q5</x:v>
      </x:c>
      <x:c r="B24" s="31" t="str">
        <x:v>emotion_mcq</x:v>
      </x:c>
      <x:c r="C24" s="31" t="str">
        <x:v>reaction</x:v>
      </x:c>
      <x:c r="D24" s="31" t="str">
        <x:v>Reaction</x:v>
      </x:c>
      <x:c r="E24" s="31" t="str">
        <x:v>Integrate and Interpret</x:v>
      </x:c>
      <x:c r="F24" s="31" t="str">
        <x:v>Infer</x:v>
      </x:c>
      <x:c r="G24" s="31" t="str">
        <x:v>Character State, Emotion, Inference</x:v>
      </x:c>
      <x:c r="H24" s="31" t="n">
        <x:v>0</x:v>
      </x:c>
      <x:c r="I24" s="31" t="n">
        <x:v>0</x:v>
      </x:c>
      <x:c r="J24" s="31" t="str">
        <x:v>현재 가능</x:v>
      </x:c>
      <x:c r="K24" s="31" t="str">
        <x:v>이해 증거 없음</x:v>
      </x:c>
      <x:c r="L24" s="31" t="str">
        <x:v>선택지에 사전 코딩된 Story Element·관계 이해 수준</x:v>
      </x:c>
      <x:c r="M24" s="31" t="str">
        <x:v>no_emotion_evidence</x:v>
      </x:c>
      <x:c r="N24" s="31" t="str">
        <x:v>현재 장면의 사건과 표정을 다시 보고 긍정·부정 감정부터 구분합니다.</x:v>
      </x:c>
    </x:row>
    <x:row r="25">
      <x:c r="A25" s="28" t="str">
        <x:v>Q6</x:v>
      </x:c>
      <x:c r="B25" s="28" t="str">
        <x:v>internal_response_mcq</x:v>
      </x:c>
      <x:c r="C25" s="28" t="str">
        <x:v>internal_response</x:v>
      </x:c>
      <x:c r="D25" s="28" t="str">
        <x:v>Internal Response / Motivation</x:v>
      </x:c>
      <x:c r="E25" s="28" t="str">
        <x:v>Integrate and Interpret</x:v>
      </x:c>
      <x:c r="F25" s="28" t="str">
        <x:v>Infer</x:v>
      </x:c>
      <x:c r="G25" s="28" t="str">
        <x:v>Character State, Motivation, Inference</x:v>
      </x:c>
      <x:c r="H25" s="28" t="n">
        <x:v>3</x:v>
      </x:c>
      <x:c r="I25" s="28" t="n">
        <x:v>100</x:v>
      </x:c>
      <x:c r="J25" s="28" t="str">
        <x:v>현재 가능</x:v>
      </x:c>
      <x:c r="K25" s="28" t="str">
        <x:v>정확한 이해</x:v>
      </x:c>
      <x:c r="L25" s="28" t="str">
        <x:v>선택지에 사전 코딩된 Story Element·관계 이해 수준</x:v>
      </x:c>
      <x:c r="M25" s="28" t="str">
        <x:v>none</x:v>
      </x:c>
      <x:c r="N25" s="28" t="str">
        <x:v>생각이나 깨달음을 뒷받침하는 행동·말을 한 가지 설명합니다.</x:v>
      </x:c>
    </x:row>
    <x:row r="26">
      <x:c r="A26" s="29" t="str">
        <x:v>Q6</x:v>
      </x:c>
      <x:c r="B26" s="29" t="str">
        <x:v>internal_response_mcq</x:v>
      </x:c>
      <x:c r="C26" s="29" t="str">
        <x:v>internal_response</x:v>
      </x:c>
      <x:c r="D26" s="29" t="str">
        <x:v>Internal Response / Motivation</x:v>
      </x:c>
      <x:c r="E26" s="29" t="str">
        <x:v>Integrate and Interpret</x:v>
      </x:c>
      <x:c r="F26" s="29" t="str">
        <x:v>Infer</x:v>
      </x:c>
      <x:c r="G26" s="29" t="str">
        <x:v>Character State, Motivation, Inference</x:v>
      </x:c>
      <x:c r="H26" s="29" t="n">
        <x:v>2</x:v>
      </x:c>
      <x:c r="I26" s="29" t="n">
        <x:v>67</x:v>
      </x:c>
      <x:c r="J26" s="29" t="str">
        <x:v>예비 기준(현재 선택지 없음)</x:v>
      </x:c>
      <x:c r="K26" s="29" t="str">
        <x:v>부분 이해</x:v>
      </x:c>
      <x:c r="L26" s="29" t="str">
        <x:v>선택지에 사전 코딩된 Story Element·관계 이해 수준</x:v>
      </x:c>
      <x:c r="M26" s="29" t="str">
        <x:v>partial_internal_inference</x:v>
      </x:c>
      <x:c r="N26" s="29" t="str">
        <x:v>핵심 생각은 잡았으므로 장면 근거와 더 정확히 연결합니다.</x:v>
      </x:c>
    </x:row>
    <x:row r="27">
      <x:c r="A27" s="30" t="str">
        <x:v>Q6</x:v>
      </x:c>
      <x:c r="B27" s="30" t="str">
        <x:v>internal_response_mcq</x:v>
      </x:c>
      <x:c r="C27" s="30" t="str">
        <x:v>internal_response</x:v>
      </x:c>
      <x:c r="D27" s="30" t="str">
        <x:v>Internal Response / Motivation</x:v>
      </x:c>
      <x:c r="E27" s="30" t="str">
        <x:v>Integrate and Interpret</x:v>
      </x:c>
      <x:c r="F27" s="30" t="str">
        <x:v>Infer</x:v>
      </x:c>
      <x:c r="G27" s="30" t="str">
        <x:v>Character State, Motivation, Inference</x:v>
      </x:c>
      <x:c r="H27" s="30" t="n">
        <x:v>1</x:v>
      </x:c>
      <x:c r="I27" s="30" t="n">
        <x:v>33</x:v>
      </x:c>
      <x:c r="J27" s="30" t="str">
        <x:v>현재 가능</x:v>
      </x:c>
      <x:c r="K27" s="30" t="str">
        <x:v>관련 정보 인식·관계 오해</x:v>
      </x:c>
      <x:c r="L27" s="30" t="str">
        <x:v>선택지에 사전 코딩된 Story Element·관계 이해 수준</x:v>
      </x:c>
      <x:c r="M27" s="30" t="str">
        <x:v>related_inference_misconnection</x:v>
      </x:c>
      <x:c r="N27" s="30" t="str">
        <x:v>인물의 말·행동과 속마음을 ‘그래서’로 연결해 다시 추론합니다.</x:v>
      </x:c>
    </x:row>
    <x:row r="28">
      <x:c r="A28" s="31" t="str">
        <x:v>Q6</x:v>
      </x:c>
      <x:c r="B28" s="31" t="str">
        <x:v>internal_response_mcq</x:v>
      </x:c>
      <x:c r="C28" s="31" t="str">
        <x:v>internal_response</x:v>
      </x:c>
      <x:c r="D28" s="31" t="str">
        <x:v>Internal Response / Motivation</x:v>
      </x:c>
      <x:c r="E28" s="31" t="str">
        <x:v>Integrate and Interpret</x:v>
      </x:c>
      <x:c r="F28" s="31" t="str">
        <x:v>Infer</x:v>
      </x:c>
      <x:c r="G28" s="31" t="str">
        <x:v>Character State, Motivation, Inference</x:v>
      </x:c>
      <x:c r="H28" s="31" t="n">
        <x:v>0</x:v>
      </x:c>
      <x:c r="I28" s="31" t="n">
        <x:v>0</x:v>
      </x:c>
      <x:c r="J28" s="31" t="str">
        <x:v>현재 가능</x:v>
      </x:c>
      <x:c r="K28" s="31" t="str">
        <x:v>이해 증거 없음</x:v>
      </x:c>
      <x:c r="L28" s="31" t="str">
        <x:v>선택지에 사전 코딩된 Story Element·관계 이해 수준</x:v>
      </x:c>
      <x:c r="M28" s="31" t="str">
        <x:v>opposite_or_no_inference</x:v>
      </x:c>
      <x:c r="N28" s="31" t="str">
        <x:v>결말 장면을 다시 읽고 인물이 이전과 달라진 점부터 찾습니다.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13.75" hidden="0" customWidth="1"/>
    <x:col min="3" max="3" width="11.25" hidden="0" customWidth="1"/>
    <x:col min="4" max="4" width="6.880000114440918" hidden="0" customWidth="1"/>
    <x:col min="5" max="5" width="6.880000114440918" hidden="0" customWidth="1"/>
    <x:col min="6" max="6" width="18.1299991607666" hidden="0" customWidth="1"/>
    <x:col min="7" max="7" width="32.5" hidden="0" customWidth="1"/>
    <x:col min="8" max="8" width="45" hidden="0" customWidth="1"/>
    <x:col min="9" max="9" width="37.5" hidden="0" customWidth="1"/>
    <x:col min="10" max="10" width="27.5" hidden="0" customWidth="1"/>
  </x:cols>
  <x:sheetData>
    <x:row r="1" ht="34" customHeight="1">
      <x:c r="A1" s="3" t="str">
        <x:v>학생·학부모 피드백 매트릭스</x:v>
      </x:c>
    </x:row>
    <x:row r="2" ht="34" customHeight="1">
      <x:c r="A2" s="7" t="str">
        <x:v>각 문항×응답 수준별 What you did well / What to practice / What to do next</x:v>
      </x:c>
    </x:row>
    <x:row r="4">
      <x:c r="A4" s="20" t="str">
        <x:v>문항</x:v>
      </x:c>
      <x:c r="B4" s="20" t="str">
        <x:v>영역</x:v>
      </x:c>
      <x:c r="C4" s="20" t="str">
        <x:v>기능</x:v>
      </x:c>
      <x:c r="D4" s="20" t="str">
        <x:v>Level</x:v>
      </x:c>
      <x:c r="E4" s="20" t="str">
        <x:v>Score</x:v>
      </x:c>
      <x:c r="F4" s="20" t="str">
        <x:v>해석</x:v>
      </x:c>
      <x:c r="G4" s="20" t="str">
        <x:v>학생 피드백</x:v>
      </x:c>
      <x:c r="H4" s="20" t="str">
        <x:v>학부모 피드백</x:v>
      </x:c>
      <x:c r="I4" s="20" t="str">
        <x:v>다음 활동</x:v>
      </x:c>
      <x:c r="J4" s="20" t="str">
        <x:v>진단 키</x:v>
      </x:c>
    </x:row>
    <x:row r="5">
      <x:c r="A5" s="28" t="str">
        <x:v>Q1</x:v>
      </x:c>
      <x:c r="B5" s="28" t="str">
        <x:v>consequence</x:v>
      </x:c>
      <x:c r="C5" s="28" t="str">
        <x:v>Sequence</x:v>
      </x:c>
      <x:c r="D5" s="28" t="n">
        <x:v>3</x:v>
      </x:c>
      <x:c r="E5" s="28" t="n">
        <x:v>100</x:v>
      </x:c>
      <x:c r="F5" s="28" t="str">
        <x:v>정확한 이해</x:v>
      </x:c>
      <x:c r="G5" s="28" t="str">
        <x:v>핵심 정보와 관계를 정확히 이해했어요.</x:v>
      </x:c>
      <x:c r="H5" s="28" t="str">
        <x:v>문항의 핵심 Story Element와 관계를 정확히 연결했습니다. 다음 활동: 다음 이야기로 이동하거나 사건의 원인과 결과를 말로 설명합니다.</x:v>
      </x:c>
      <x:c r="I5" s="28" t="str">
        <x:v>다음 이야기로 이동하거나 사건의 원인과 결과를 말로 설명합니다.</x:v>
      </x:c>
      <x:c r="J5" s="28" t="str">
        <x:v>consequence:none</x:v>
      </x:c>
    </x:row>
    <x:row r="6">
      <x:c r="A6" s="29" t="str">
        <x:v>Q1</x:v>
      </x:c>
      <x:c r="B6" s="29" t="str">
        <x:v>consequence</x:v>
      </x:c>
      <x:c r="C6" s="29" t="str">
        <x:v>Sequence</x:v>
      </x:c>
      <x:c r="D6" s="29" t="n">
        <x:v>2</x:v>
      </x:c>
      <x:c r="E6" s="29" t="n">
        <x:v>67</x:v>
      </x:c>
      <x:c r="F6" s="29" t="str">
        <x:v>부분 이해</x:v>
      </x:c>
      <x:c r="G6" s="29" t="str">
        <x:v>핵심은 이해했어요. 한 가지 단서를 더 확인해 보세요.</x:v>
      </x:c>
      <x:c r="H6" s="29" t="str">
        <x:v>핵심 정보는 파악했으나 일부 순서·관계·세부 단서가 불완전합니다. 다음 활동: 처음과 마지막 장면을 고정하고, 흔들린 중간 장면 두 개의 앞뒤를 다시 확인합니다.</x:v>
      </x:c>
      <x:c r="I6" s="29" t="str">
        <x:v>처음과 마지막 장면을 고정하고, 흔들린 중간 장면 두 개의 앞뒤를 다시 확인합니다.</x:v>
      </x:c>
      <x:c r="J6" s="29" t="str">
        <x:v>consequence:local_sequence_gap</x:v>
      </x:c>
    </x:row>
    <x:row r="7">
      <x:c r="A7" s="30" t="str">
        <x:v>Q1</x:v>
      </x:c>
      <x:c r="B7" s="30" t="str">
        <x:v>consequence</x:v>
      </x:c>
      <x:c r="C7" s="30" t="str">
        <x:v>Sequence</x:v>
      </x:c>
      <x:c r="D7" s="30" t="n">
        <x:v>1</x:v>
      </x:c>
      <x:c r="E7" s="30" t="n">
        <x:v>33</x:v>
      </x:c>
      <x:c r="F7" s="30" t="str">
        <x:v>관련 정보 인식·관계 오해</x:v>
      </x:c>
      <x:c r="G7" s="30" t="str">
        <x:v>관련 장면은 찾았어요. 질문이 묻는 관계를 다시 연결해 보세요.</x:v>
      </x:c>
      <x:c r="H7" s="30" t="str">
        <x:v>관련 이야기 요소는 인식했지만 질문이 요구한 핵심 관계를 잘못 연결했습니다. 다음 활동: Story Map에서 처음-문제-행동-결과를 연결한 뒤 다시 배열합니다.</x:v>
      </x:c>
      <x:c r="I7" s="30" t="str">
        <x:v>Story Map에서 처음-문제-행동-결과를 연결한 뒤 다시 배열합니다.</x:v>
      </x:c>
      <x:c r="J7" s="30" t="str">
        <x:v>consequence:event_relation_confusion</x:v>
      </x:c>
    </x:row>
    <x:row r="8">
      <x:c r="A8" s="31" t="str">
        <x:v>Q1</x:v>
      </x:c>
      <x:c r="B8" s="31" t="str">
        <x:v>consequence</x:v>
      </x:c>
      <x:c r="C8" s="31" t="str">
        <x:v>Sequence</x:v>
      </x:c>
      <x:c r="D8" s="31" t="n">
        <x:v>0</x:v>
      </x:c>
      <x:c r="E8" s="31" t="n">
        <x:v>0</x:v>
      </x:c>
      <x:c r="F8" s="31" t="str">
        <x:v>이해 증거 없음</x:v>
      </x:c>
      <x:c r="G8" s="31" t="str">
        <x:v>장면의 핵심 단서를 함께 다시 찾아보세요.</x:v>
      </x:c>
      <x:c r="H8" s="31" t="str">
        <x:v>현재 응답만으로는 문항의 핵심 이해를 뒷받침하는 증거가 부족합니다. 다음 활동: 이야기를 다시 읽고 핵심 장면을 한 장씩 말한 뒤 재시도합니다.</x:v>
      </x:c>
      <x:c r="I8" s="31" t="str">
        <x:v>이야기를 다시 읽고 핵심 장면을 한 장씩 말한 뒤 재시도합니다.</x:v>
      </x:c>
      <x:c r="J8" s="31" t="str">
        <x:v>consequence:no_sequence_evidence</x:v>
      </x:c>
    </x:row>
    <x:row r="9">
      <x:c r="A9" s="28" t="str">
        <x:v>Q2</x:v>
      </x:c>
      <x:c r="B9" s="28" t="str">
        <x:v>setting</x:v>
      </x:c>
      <x:c r="C9" s="28" t="str">
        <x:v>Identify</x:v>
      </x:c>
      <x:c r="D9" s="28" t="n">
        <x:v>3</x:v>
      </x:c>
      <x:c r="E9" s="28" t="n">
        <x:v>100</x:v>
      </x:c>
      <x:c r="F9" s="28" t="str">
        <x:v>정확한 이해</x:v>
      </x:c>
      <x:c r="G9" s="28" t="str">
        <x:v>핵심 정보와 관계를 정확히 이해했어요.</x:v>
      </x:c>
      <x:c r="H9" s="28" t="str">
        <x:v>문항의 핵심 Story Element와 관계를 정확히 연결했습니다. 다음 활동: 첫 장면의 인물·장소·처음 상황을 한 문장으로 설명합니다.</x:v>
      </x:c>
      <x:c r="I9" s="28" t="str">
        <x:v>첫 장면의 인물·장소·처음 상황을 한 문장으로 설명합니다.</x:v>
      </x:c>
      <x:c r="J9" s="28" t="str">
        <x:v>setting:none</x:v>
      </x:c>
    </x:row>
    <x:row r="10">
      <x:c r="A10" s="29" t="str">
        <x:v>Q2</x:v>
      </x:c>
      <x:c r="B10" s="29" t="str">
        <x:v>setting</x:v>
      </x:c>
      <x:c r="C10" s="29" t="str">
        <x:v>Identify</x:v>
      </x:c>
      <x:c r="D10" s="29" t="n">
        <x:v>2</x:v>
      </x:c>
      <x:c r="E10" s="29" t="n">
        <x:v>67</x:v>
      </x:c>
      <x:c r="F10" s="29" t="str">
        <x:v>부분 이해</x:v>
      </x:c>
      <x:c r="G10" s="29" t="str">
        <x:v>핵심은 이해했어요. 한 가지 단서를 더 확인해 보세요.</x:v>
      </x:c>
      <x:c r="H10" s="29" t="str">
        <x:v>핵심 정보는 파악했으나 일부 순서·관계·세부 단서가 불완전합니다. 다음 활동: 틀린 한 요소를 첫 장면에서 다시 찾아 표시합니다.</x:v>
      </x:c>
      <x:c r="I10" s="29" t="str">
        <x:v>틀린 한 요소를 첫 장면에서 다시 찾아 표시합니다.</x:v>
      </x:c>
      <x:c r="J10" s="29" t="str">
        <x:v>setting:one_setting_element_gap</x:v>
      </x:c>
    </x:row>
    <x:row r="11">
      <x:c r="A11" s="30" t="str">
        <x:v>Q2</x:v>
      </x:c>
      <x:c r="B11" s="30" t="str">
        <x:v>setting</x:v>
      </x:c>
      <x:c r="C11" s="30" t="str">
        <x:v>Identify</x:v>
      </x:c>
      <x:c r="D11" s="30" t="n">
        <x:v>1</x:v>
      </x:c>
      <x:c r="E11" s="30" t="n">
        <x:v>33</x:v>
      </x:c>
      <x:c r="F11" s="30" t="str">
        <x:v>관련 정보 인식·관계 오해</x:v>
      </x:c>
      <x:c r="G11" s="30" t="str">
        <x:v>관련 장면은 찾았어요. 질문이 묻는 관계를 다시 연결해 보세요.</x:v>
      </x:c>
      <x:c r="H11" s="30" t="str">
        <x:v>관련 이야기 요소는 인식했지만 질문이 요구한 핵심 관계를 잘못 연결했습니다. 다음 활동: Who / Where / At first를 색으로 나누어 Story Map에 적습니다.</x:v>
      </x:c>
      <x:c r="I11" s="30" t="str">
        <x:v>Who / Where / At first를 색으로 나누어 Story Map에 적습니다.</x:v>
      </x:c>
      <x:c r="J11" s="30" t="str">
        <x:v>setting:setting_element_confusion</x:v>
      </x:c>
    </x:row>
    <x:row r="12">
      <x:c r="A12" s="31" t="str">
        <x:v>Q2</x:v>
      </x:c>
      <x:c r="B12" s="31" t="str">
        <x:v>setting</x:v>
      </x:c>
      <x:c r="C12" s="31" t="str">
        <x:v>Identify</x:v>
      </x:c>
      <x:c r="D12" s="31" t="n">
        <x:v>0</x:v>
      </x:c>
      <x:c r="E12" s="31" t="n">
        <x:v>0</x:v>
      </x:c>
      <x:c r="F12" s="31" t="str">
        <x:v>이해 증거 없음</x:v>
      </x:c>
      <x:c r="G12" s="31" t="str">
        <x:v>장면의 핵심 단서를 함께 다시 찾아보세요.</x:v>
      </x:c>
      <x:c r="H12" s="31" t="str">
        <x:v>현재 응답만으로는 문항의 핵심 이해를 뒷받침하는 증거가 부족합니다. 다음 활동: 첫 장면을 다시 보고 인물부터 함께 찾은 뒤 장소와 상황으로 확장합니다.</x:v>
      </x:c>
      <x:c r="I12" s="31" t="str">
        <x:v>첫 장면을 다시 보고 인물부터 함께 찾은 뒤 장소와 상황으로 확장합니다.</x:v>
      </x:c>
      <x:c r="J12" s="31" t="str">
        <x:v>setting:no_setting_evidence</x:v>
      </x:c>
    </x:row>
    <x:row r="13">
      <x:c r="A13" s="28" t="str">
        <x:v>Q3</x:v>
      </x:c>
      <x:c r="B13" s="28" t="str">
        <x:v>initiating_event</x:v>
      </x:c>
      <x:c r="C13" s="28" t="str">
        <x:v>Connect</x:v>
      </x:c>
      <x:c r="D13" s="28" t="n">
        <x:v>3</x:v>
      </x:c>
      <x:c r="E13" s="28" t="n">
        <x:v>100</x:v>
      </x:c>
      <x:c r="F13" s="28" t="str">
        <x:v>정확한 이해</x:v>
      </x:c>
      <x:c r="G13" s="28" t="str">
        <x:v>핵심 정보와 관계를 정확히 이해했어요.</x:v>
      </x:c>
      <x:c r="H13" s="28" t="str">
        <x:v>문항의 핵심 Story Element와 관계를 정확히 연결했습니다. 다음 활동: 문제가 시작된 까닭과 다음 사건을 연결해 말합니다.</x:v>
      </x:c>
      <x:c r="I13" s="28" t="str">
        <x:v>문제가 시작된 까닭과 다음 사건을 연결해 말합니다.</x:v>
      </x:c>
      <x:c r="J13" s="28" t="str">
        <x:v>initiating_event:none</x:v>
      </x:c>
    </x:row>
    <x:row r="14">
      <x:c r="A14" s="29" t="str">
        <x:v>Q3</x:v>
      </x:c>
      <x:c r="B14" s="29" t="str">
        <x:v>initiating_event</x:v>
      </x:c>
      <x:c r="C14" s="29" t="str">
        <x:v>Connect</x:v>
      </x:c>
      <x:c r="D14" s="29" t="n">
        <x:v>2</x:v>
      </x:c>
      <x:c r="E14" s="29" t="n">
        <x:v>67</x:v>
      </x:c>
      <x:c r="F14" s="29" t="str">
        <x:v>부분 이해</x:v>
      </x:c>
      <x:c r="G14" s="29" t="str">
        <x:v>핵심은 이해했어요. 한 가지 단서를 더 확인해 보세요.</x:v>
      </x:c>
      <x:c r="H14" s="29" t="str">
        <x:v>핵심 정보는 파악했으나 일부 순서·관계·세부 단서가 불완전합니다. 다음 활동: 문제의 단서는 찾았으므로, 그 단서가 어떤 변화를 일으켰는지 확인합니다.</x:v>
      </x:c>
      <x:c r="I14" s="29" t="str">
        <x:v>문제의 단서는 찾았으므로, 그 단서가 어떤 변화를 일으켰는지 확인합니다.</x:v>
      </x:c>
      <x:c r="J14" s="29" t="str">
        <x:v>initiating_event:partial_problem_relation</x:v>
      </x:c>
    </x:row>
    <x:row r="15">
      <x:c r="A15" s="30" t="str">
        <x:v>Q3</x:v>
      </x:c>
      <x:c r="B15" s="30" t="str">
        <x:v>initiating_event</x:v>
      </x:c>
      <x:c r="C15" s="30" t="str">
        <x:v>Connect</x:v>
      </x:c>
      <x:c r="D15" s="30" t="n">
        <x:v>1</x:v>
      </x:c>
      <x:c r="E15" s="30" t="n">
        <x:v>33</x:v>
      </x:c>
      <x:c r="F15" s="30" t="str">
        <x:v>관련 정보 인식·관계 오해</x:v>
      </x:c>
      <x:c r="G15" s="30" t="str">
        <x:v>관련 장면은 찾았어요. 질문이 묻는 관계를 다시 연결해 보세요.</x:v>
      </x:c>
      <x:c r="H15" s="30" t="str">
        <x:v>관련 이야기 요소는 인식했지만 질문이 요구한 핵심 관계를 잘못 연결했습니다. 다음 활동: 배경·문제 시작·결과·해결 장면을 네 칸으로 나누어 비교합니다.</x:v>
      </x:c>
      <x:c r="I15" s="30" t="str">
        <x:v>배경·문제 시작·결과·해결 장면을 네 칸으로 나누어 비교합니다.</x:v>
      </x:c>
      <x:c r="J15" s="30" t="str">
        <x:v>initiating_event:story_phase_confusion</x:v>
      </x:c>
    </x:row>
    <x:row r="16">
      <x:c r="A16" s="31" t="str">
        <x:v>Q3</x:v>
      </x:c>
      <x:c r="B16" s="31" t="str">
        <x:v>initiating_event</x:v>
      </x:c>
      <x:c r="C16" s="31" t="str">
        <x:v>Connect</x:v>
      </x:c>
      <x:c r="D16" s="31" t="n">
        <x:v>0</x:v>
      </x:c>
      <x:c r="E16" s="31" t="n">
        <x:v>0</x:v>
      </x:c>
      <x:c r="F16" s="31" t="str">
        <x:v>이해 증거 없음</x:v>
      </x:c>
      <x:c r="G16" s="31" t="str">
        <x:v>장면의 핵심 단서를 함께 다시 찾아보세요.</x:v>
      </x:c>
      <x:c r="H16" s="31" t="str">
        <x:v>현재 응답만으로는 문항의 핵심 이해를 뒷받침하는 증거가 부족합니다. 다음 활동: 오디오를 다시 듣고 ‘처음 큰 변화’가 생기는 장면을 함께 찾습니다.</x:v>
      </x:c>
      <x:c r="I16" s="31" t="str">
        <x:v>오디오를 다시 듣고 ‘처음 큰 변화’가 생기는 장면을 함께 찾습니다.</x:v>
      </x:c>
      <x:c r="J16" s="31" t="str">
        <x:v>initiating_event:no_problem_evidence</x:v>
      </x:c>
    </x:row>
    <x:row r="17">
      <x:c r="A17" s="28" t="str">
        <x:v>Q4</x:v>
      </x:c>
      <x:c r="B17" s="28" t="str">
        <x:v>attempt</x:v>
      </x:c>
      <x:c r="C17" s="28" t="str">
        <x:v>Sequence</x:v>
      </x:c>
      <x:c r="D17" s="28" t="n">
        <x:v>3</x:v>
      </x:c>
      <x:c r="E17" s="28" t="n">
        <x:v>100</x:v>
      </x:c>
      <x:c r="F17" s="28" t="str">
        <x:v>정확한 이해</x:v>
      </x:c>
      <x:c r="G17" s="28" t="str">
        <x:v>핵심 정보와 관계를 정확히 이해했어요.</x:v>
      </x:c>
      <x:c r="H17" s="28" t="str">
        <x:v>문항의 핵심 Story Element와 관계를 정확히 연결했습니다. 다음 활동: 인물의 행동이 문제 해결에 어떻게 연결되는지 말합니다.</x:v>
      </x:c>
      <x:c r="I17" s="28" t="str">
        <x:v>인물의 행동이 문제 해결에 어떻게 연결되는지 말합니다.</x:v>
      </x:c>
      <x:c r="J17" s="28" t="str">
        <x:v>attempt:none</x:v>
      </x:c>
    </x:row>
    <x:row r="18">
      <x:c r="A18" s="29" t="str">
        <x:v>Q4</x:v>
      </x:c>
      <x:c r="B18" s="29" t="str">
        <x:v>attempt</x:v>
      </x:c>
      <x:c r="C18" s="29" t="str">
        <x:v>Sequence</x:v>
      </x:c>
      <x:c r="D18" s="29" t="n">
        <x:v>2</x:v>
      </x:c>
      <x:c r="E18" s="29" t="n">
        <x:v>67</x:v>
      </x:c>
      <x:c r="F18" s="29" t="str">
        <x:v>부분 이해</x:v>
      </x:c>
      <x:c r="G18" s="29" t="str">
        <x:v>핵심은 이해했어요. 한 가지 단서를 더 확인해 보세요.</x:v>
      </x:c>
      <x:c r="H18" s="29" t="str">
        <x:v>핵심 정보는 파악했으나 일부 순서·관계·세부 단서가 불완전합니다. 다음 활동: 유지된 문장 덩어리는 그대로 두고, 흔들린 어절의 위치만 다시 확인합니다.</x:v>
      </x:c>
      <x:c r="I18" s="29" t="str">
        <x:v>유지된 문장 덩어리는 그대로 두고, 흔들린 어절의 위치만 다시 확인합니다.</x:v>
      </x:c>
      <x:c r="J18" s="29" t="str">
        <x:v>attempt:local_action_order_gap</x:v>
      </x:c>
    </x:row>
    <x:row r="19">
      <x:c r="A19" s="30" t="str">
        <x:v>Q4</x:v>
      </x:c>
      <x:c r="B19" s="30" t="str">
        <x:v>attempt</x:v>
      </x:c>
      <x:c r="C19" s="30" t="str">
        <x:v>Sequence</x:v>
      </x:c>
      <x:c r="D19" s="30" t="n">
        <x:v>1</x:v>
      </x:c>
      <x:c r="E19" s="30" t="n">
        <x:v>33</x:v>
      </x:c>
      <x:c r="F19" s="30" t="str">
        <x:v>관련 정보 인식·관계 오해</x:v>
      </x:c>
      <x:c r="G19" s="30" t="str">
        <x:v>관련 장면은 찾았어요. 질문이 묻는 관계를 다시 연결해 보세요.</x:v>
      </x:c>
      <x:c r="H19" s="30" t="str">
        <x:v>관련 이야기 요소는 인식했지만 질문이 요구한 핵심 관계를 잘못 연결했습니다. 다음 활동: 그림을 보고 ‘누가-무엇을 했다’를 먼저 말한 뒤 문장을 다시 배열합니다.</x:v>
      </x:c>
      <x:c r="I19" s="30" t="str">
        <x:v>그림을 보고 ‘누가-무엇을 했다’를 먼저 말한 뒤 문장을 다시 배열합니다.</x:v>
      </x:c>
      <x:c r="J19" s="30" t="str">
        <x:v>attempt:action_relation_confusion</x:v>
      </x:c>
    </x:row>
    <x:row r="20">
      <x:c r="A20" s="31" t="str">
        <x:v>Q4</x:v>
      </x:c>
      <x:c r="B20" s="31" t="str">
        <x:v>attempt</x:v>
      </x:c>
      <x:c r="C20" s="31" t="str">
        <x:v>Sequence</x:v>
      </x:c>
      <x:c r="D20" s="31" t="n">
        <x:v>0</x:v>
      </x:c>
      <x:c r="E20" s="31" t="n">
        <x:v>0</x:v>
      </x:c>
      <x:c r="F20" s="31" t="str">
        <x:v>이해 증거 없음</x:v>
      </x:c>
      <x:c r="G20" s="31" t="str">
        <x:v>장면의 핵심 단서를 함께 다시 찾아보세요.</x:v>
      </x:c>
      <x:c r="H20" s="31" t="str">
        <x:v>현재 응답만으로는 문항의 핵심 이해를 뒷받침하는 증거가 부족합니다. 다음 활동: 핵심 인물과 행동어를 먼저 찾고 짧은 구로 묶어 재시도합니다.</x:v>
      </x:c>
      <x:c r="I20" s="31" t="str">
        <x:v>핵심 인물과 행동어를 먼저 찾고 짧은 구로 묶어 재시도합니다.</x:v>
      </x:c>
      <x:c r="J20" s="31" t="str">
        <x:v>attempt:no_action_evidence</x:v>
      </x:c>
    </x:row>
    <x:row r="21">
      <x:c r="A21" s="28" t="str">
        <x:v>Q5</x:v>
      </x:c>
      <x:c r="B21" s="28" t="str">
        <x:v>reaction</x:v>
      </x:c>
      <x:c r="C21" s="28" t="str">
        <x:v>Infer</x:v>
      </x:c>
      <x:c r="D21" s="28" t="n">
        <x:v>3</x:v>
      </x:c>
      <x:c r="E21" s="28" t="n">
        <x:v>100</x:v>
      </x:c>
      <x:c r="F21" s="28" t="str">
        <x:v>정확한 이해</x:v>
      </x:c>
      <x:c r="G21" s="28" t="str">
        <x:v>핵심 정보와 관계를 정확히 이해했어요.</x:v>
      </x:c>
      <x:c r="H21" s="28" t="str">
        <x:v>문항의 핵심 Story Element와 관계를 정확히 연결했습니다. 다음 활동: 감정을 뒷받침하는 장면 단서를 한 가지 말합니다.</x:v>
      </x:c>
      <x:c r="I21" s="28" t="str">
        <x:v>감정을 뒷받침하는 장면 단서를 한 가지 말합니다.</x:v>
      </x:c>
      <x:c r="J21" s="28" t="str">
        <x:v>reaction:none</x:v>
      </x:c>
    </x:row>
    <x:row r="22">
      <x:c r="A22" s="29" t="str">
        <x:v>Q5</x:v>
      </x:c>
      <x:c r="B22" s="29" t="str">
        <x:v>reaction</x:v>
      </x:c>
      <x:c r="C22" s="29" t="str">
        <x:v>Infer</x:v>
      </x:c>
      <x:c r="D22" s="29" t="n">
        <x:v>2</x:v>
      </x:c>
      <x:c r="E22" s="29" t="n">
        <x:v>67</x:v>
      </x:c>
      <x:c r="F22" s="29" t="str">
        <x:v>부분 이해</x:v>
      </x:c>
      <x:c r="G22" s="29" t="str">
        <x:v>핵심은 이해했어요. 한 가지 단서를 더 확인해 보세요.</x:v>
      </x:c>
      <x:c r="H22" s="29" t="str">
        <x:v>핵심 정보는 파악했으나 일부 순서·관계·세부 단서가 불완전합니다. 다음 활동: 감정의 방향은 맞았으므로 표정·사건 단서로 정확한 감정어를 구분합니다.</x:v>
      </x:c>
      <x:c r="I22" s="29" t="str">
        <x:v>감정의 방향은 맞았으므로 표정·사건 단서로 정확한 감정어를 구분합니다.</x:v>
      </x:c>
      <x:c r="J22" s="29" t="str">
        <x:v>reaction:emotion_specificity_confusion</x:v>
      </x:c>
    </x:row>
    <x:row r="23">
      <x:c r="A23" s="30" t="str">
        <x:v>Q5</x:v>
      </x:c>
      <x:c r="B23" s="30" t="str">
        <x:v>reaction</x:v>
      </x:c>
      <x:c r="C23" s="30" t="str">
        <x:v>Infer</x:v>
      </x:c>
      <x:c r="D23" s="30" t="n">
        <x:v>1</x:v>
      </x:c>
      <x:c r="E23" s="30" t="n">
        <x:v>33</x:v>
      </x:c>
      <x:c r="F23" s="30" t="str">
        <x:v>관련 정보 인식·관계 오해</x:v>
      </x:c>
      <x:c r="G23" s="30" t="str">
        <x:v>관련 장면은 찾았어요. 질문이 묻는 관계를 다시 연결해 보세요.</x:v>
      </x:c>
      <x:c r="H23" s="30" t="str">
        <x:v>관련 이야기 요소는 인식했지만 질문이 요구한 핵심 관계를 잘못 연결했습니다. 다음 활동: 현재 장면과 다른 장면의 감정을 비교하고, 언제 감정이 바뀌었는지 찾습니다.</x:v>
      </x:c>
      <x:c r="I23" s="30" t="str">
        <x:v>현재 장면과 다른 장면의 감정을 비교하고, 언제 감정이 바뀌었는지 찾습니다.</x:v>
      </x:c>
      <x:c r="J23" s="30" t="str">
        <x:v>reaction:story_phase_emotion_confusion</x:v>
      </x:c>
    </x:row>
    <x:row r="24">
      <x:c r="A24" s="31" t="str">
        <x:v>Q5</x:v>
      </x:c>
      <x:c r="B24" s="31" t="str">
        <x:v>reaction</x:v>
      </x:c>
      <x:c r="C24" s="31" t="str">
        <x:v>Infer</x:v>
      </x:c>
      <x:c r="D24" s="31" t="n">
        <x:v>0</x:v>
      </x:c>
      <x:c r="E24" s="31" t="n">
        <x:v>0</x:v>
      </x:c>
      <x:c r="F24" s="31" t="str">
        <x:v>이해 증거 없음</x:v>
      </x:c>
      <x:c r="G24" s="31" t="str">
        <x:v>장면의 핵심 단서를 함께 다시 찾아보세요.</x:v>
      </x:c>
      <x:c r="H24" s="31" t="str">
        <x:v>현재 응답만으로는 문항의 핵심 이해를 뒷받침하는 증거가 부족합니다. 다음 활동: 현재 장면의 사건과 표정을 다시 보고 긍정·부정 감정부터 구분합니다.</x:v>
      </x:c>
      <x:c r="I24" s="31" t="str">
        <x:v>현재 장면의 사건과 표정을 다시 보고 긍정·부정 감정부터 구분합니다.</x:v>
      </x:c>
      <x:c r="J24" s="31" t="str">
        <x:v>reaction:no_emotion_evidence</x:v>
      </x:c>
    </x:row>
    <x:row r="25">
      <x:c r="A25" s="28" t="str">
        <x:v>Q6</x:v>
      </x:c>
      <x:c r="B25" s="28" t="str">
        <x:v>internal_response</x:v>
      </x:c>
      <x:c r="C25" s="28" t="str">
        <x:v>Infer</x:v>
      </x:c>
      <x:c r="D25" s="28" t="n">
        <x:v>3</x:v>
      </x:c>
      <x:c r="E25" s="28" t="n">
        <x:v>100</x:v>
      </x:c>
      <x:c r="F25" s="28" t="str">
        <x:v>정확한 이해</x:v>
      </x:c>
      <x:c r="G25" s="28" t="str">
        <x:v>핵심 정보와 관계를 정확히 이해했어요.</x:v>
      </x:c>
      <x:c r="H25" s="28" t="str">
        <x:v>문항의 핵심 Story Element와 관계를 정확히 연결했습니다. 다음 활동: 생각이나 깨달음을 뒷받침하는 행동·말을 한 가지 설명합니다.</x:v>
      </x:c>
      <x:c r="I25" s="28" t="str">
        <x:v>생각이나 깨달음을 뒷받침하는 행동·말을 한 가지 설명합니다.</x:v>
      </x:c>
      <x:c r="J25" s="28" t="str">
        <x:v>internal_response:none</x:v>
      </x:c>
    </x:row>
    <x:row r="26">
      <x:c r="A26" s="29" t="str">
        <x:v>Q6</x:v>
      </x:c>
      <x:c r="B26" s="29" t="str">
        <x:v>internal_response</x:v>
      </x:c>
      <x:c r="C26" s="29" t="str">
        <x:v>Infer</x:v>
      </x:c>
      <x:c r="D26" s="29" t="n">
        <x:v>2</x:v>
      </x:c>
      <x:c r="E26" s="29" t="n">
        <x:v>67</x:v>
      </x:c>
      <x:c r="F26" s="29" t="str">
        <x:v>부분 이해</x:v>
      </x:c>
      <x:c r="G26" s="29" t="str">
        <x:v>핵심은 이해했어요. 한 가지 단서를 더 확인해 보세요.</x:v>
      </x:c>
      <x:c r="H26" s="29" t="str">
        <x:v>핵심 정보는 파악했으나 일부 순서·관계·세부 단서가 불완전합니다. 다음 활동: 핵심 생각은 잡았으므로 장면 근거와 더 정확히 연결합니다.</x:v>
      </x:c>
      <x:c r="I26" s="29" t="str">
        <x:v>핵심 생각은 잡았으므로 장면 근거와 더 정확히 연결합니다.</x:v>
      </x:c>
      <x:c r="J26" s="29" t="str">
        <x:v>internal_response:partial_internal_inference</x:v>
      </x:c>
    </x:row>
    <x:row r="27">
      <x:c r="A27" s="30" t="str">
        <x:v>Q6</x:v>
      </x:c>
      <x:c r="B27" s="30" t="str">
        <x:v>internal_response</x:v>
      </x:c>
      <x:c r="C27" s="30" t="str">
        <x:v>Infer</x:v>
      </x:c>
      <x:c r="D27" s="30" t="n">
        <x:v>1</x:v>
      </x:c>
      <x:c r="E27" s="30" t="n">
        <x:v>33</x:v>
      </x:c>
      <x:c r="F27" s="30" t="str">
        <x:v>관련 정보 인식·관계 오해</x:v>
      </x:c>
      <x:c r="G27" s="30" t="str">
        <x:v>관련 장면은 찾았어요. 질문이 묻는 관계를 다시 연결해 보세요.</x:v>
      </x:c>
      <x:c r="H27" s="30" t="str">
        <x:v>관련 이야기 요소는 인식했지만 질문이 요구한 핵심 관계를 잘못 연결했습니다. 다음 활동: 인물의 말·행동과 속마음을 ‘그래서’로 연결해 다시 추론합니다.</x:v>
      </x:c>
      <x:c r="I27" s="30" t="str">
        <x:v>인물의 말·행동과 속마음을 ‘그래서’로 연결해 다시 추론합니다.</x:v>
      </x:c>
      <x:c r="J27" s="30" t="str">
        <x:v>internal_response:related_inference_misconnection</x:v>
      </x:c>
    </x:row>
    <x:row r="28">
      <x:c r="A28" s="31" t="str">
        <x:v>Q6</x:v>
      </x:c>
      <x:c r="B28" s="31" t="str">
        <x:v>internal_response</x:v>
      </x:c>
      <x:c r="C28" s="31" t="str">
        <x:v>Infer</x:v>
      </x:c>
      <x:c r="D28" s="31" t="n">
        <x:v>0</x:v>
      </x:c>
      <x:c r="E28" s="31" t="n">
        <x:v>0</x:v>
      </x:c>
      <x:c r="F28" s="31" t="str">
        <x:v>이해 증거 없음</x:v>
      </x:c>
      <x:c r="G28" s="31" t="str">
        <x:v>장면의 핵심 단서를 함께 다시 찾아보세요.</x:v>
      </x:c>
      <x:c r="H28" s="31" t="str">
        <x:v>현재 응답만으로는 문항의 핵심 이해를 뒷받침하는 증거가 부족합니다. 다음 활동: 결말 장면을 다시 읽고 인물이 이전과 달라진 점부터 찾습니다.</x:v>
      </x:c>
      <x:c r="I28" s="31" t="str">
        <x:v>결말 장면을 다시 읽고 인물이 이전과 달라진 점부터 찾습니다.</x:v>
      </x:c>
      <x:c r="J28" s="31" t="str">
        <x:v>internal_response:opposite_or_no_inference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26.25" hidden="0" customWidth="1"/>
    <x:col min="3" max="3" width="6.880000114440918" hidden="0" customWidth="1"/>
    <x:col min="4" max="4" width="13.75" hidden="0" customWidth="1"/>
    <x:col min="5" max="5" width="6.880000114440918" hidden="0" customWidth="1"/>
    <x:col min="6" max="6" width="32.5" hidden="0" customWidth="1"/>
    <x:col min="7" max="7" width="8.130000114440918" hidden="0" customWidth="1"/>
    <x:col min="8" max="8" width="6.880000114440918" hidden="0" customWidth="1"/>
    <x:col min="9" max="9" width="6.880000114440918" hidden="0" customWidth="1"/>
    <x:col min="10" max="10" width="26.25" hidden="0" customWidth="1"/>
    <x:col min="11" max="11" width="42.5" hidden="0" customWidth="1"/>
    <x:col min="12" max="12" width="40" hidden="0" customWidth="1"/>
  </x:cols>
  <x:sheetData>
    <x:row r="1" ht="34" customHeight="1">
      <x:c r="A1" s="3" t="str">
        <x:v>Q3·Q5·Q6 선택지 진단</x:v>
      </x:c>
    </x:row>
    <x:row r="2" ht="34" customHeight="1">
      <x:c r="A2" s="7" t="str">
        <x:v>어떤 오답을 선택했는지를 오개념과 후속 활동으로 연결</x:v>
      </x:c>
    </x:row>
    <x:row r="4">
      <x:c r="A4" s="20" t="str">
        <x:v>Story ID</x:v>
      </x:c>
      <x:c r="B4" s="20" t="str">
        <x:v>Title</x:v>
      </x:c>
      <x:c r="C4" s="20" t="str">
        <x:v>문항</x:v>
      </x:c>
      <x:c r="D4" s="20" t="str">
        <x:v>영역</x:v>
      </x:c>
      <x:c r="E4" s="20" t="str">
        <x:v>선택지</x:v>
      </x:c>
      <x:c r="F4" s="20" t="str">
        <x:v>내용</x:v>
      </x:c>
      <x:c r="G4" s="20" t="str">
        <x:v>정오</x:v>
      </x:c>
      <x:c r="H4" s="20" t="str">
        <x:v>Level</x:v>
      </x:c>
      <x:c r="I4" s="20" t="str">
        <x:v>Score</x:v>
      </x:c>
      <x:c r="J4" s="20" t="str">
        <x:v>오개념 유형</x:v>
      </x:c>
      <x:c r="K4" s="20" t="str">
        <x:v>진단 근거</x:v>
      </x:c>
      <x:c r="L4" s="20" t="str">
        <x:v>추천 활동</x:v>
      </x:c>
    </x:row>
    <x:row r="5">
      <x:c r="A5" s="30" t="str">
        <x:v>CS0003</x:v>
      </x:c>
      <x:c r="B5" s="30" t="str">
        <x:v>Hans in Luck</x:v>
      </x:c>
      <x:c r="C5" s="30" t="str">
        <x:v>Q3</x:v>
      </x:c>
      <x:c r="D5" s="30" t="str">
        <x:v>initiating_event</x:v>
      </x:c>
      <x:c r="E5" s="30" t="str">
        <x:v>A</x:v>
      </x:c>
      <x:c r="F5" s="30" t="str">
        <x:v>Hans rides the horse.</x:v>
      </x:c>
      <x:c r="G5" s="30" t="str">
        <x:v>오답</x:v>
      </x:c>
      <x:c r="H5" s="30" t="n">
        <x:v>1</x:v>
      </x:c>
      <x:c r="I5" s="30" t="n">
        <x:v>33</x:v>
      </x:c>
      <x:c r="J5" s="30" t="str">
        <x:v>story_phase_confusion</x:v>
      </x:c>
      <x:c r="K5" s="30" t="str">
        <x:v>문제 발생 뒤의 이동 장면을 사건 시작으로 혼동합니다.</x:v>
      </x:c>
      <x:c r="L5" s="30" t="str">
        <x:v>배경·문제 시작·결과·해결 장면을 네 칸으로 나누어 비교합니다.</x:v>
      </x:c>
    </x:row>
    <x:row r="6">
      <x:c r="A6" s="28" t="str">
        <x:v>CS0003</x:v>
      </x:c>
      <x:c r="B6" s="28" t="str">
        <x:v>Hans in Luck</x:v>
      </x:c>
      <x:c r="C6" s="28" t="str">
        <x:v>Q3</x:v>
      </x:c>
      <x:c r="D6" s="28" t="str">
        <x:v>initiating_event</x:v>
      </x:c>
      <x:c r="E6" s="28" t="str">
        <x:v>B</x:v>
      </x:c>
      <x:c r="F6" s="28" t="str">
        <x:v>The gold is too heavy.</x:v>
      </x:c>
      <x:c r="G6" s="28" t="str">
        <x:v>정답</x:v>
      </x:c>
      <x:c r="H6" s="28" t="n">
        <x:v>3</x:v>
      </x:c>
      <x:c r="I6" s="28" t="n">
        <x:v>100</x:v>
      </x:c>
      <x:c r="J6" s="28" t="str">
        <x:v>none</x:v>
      </x:c>
      <x:c r="K6" s="28" t="str">
        <x:v>핵심 요소와 관계를 정확히 연결</x:v>
      </x:c>
      <x:c r="L6" s="28" t="str">
        <x:v>문제가 시작된 까닭과 다음 사건을 연결해 말합니다.</x:v>
      </x:c>
    </x:row>
    <x:row r="7">
      <x:c r="A7" s="30" t="str">
        <x:v>CS0003</x:v>
      </x:c>
      <x:c r="B7" s="30" t="str">
        <x:v>Hans in Luck</x:v>
      </x:c>
      <x:c r="C7" s="30" t="str">
        <x:v>Q3</x:v>
      </x:c>
      <x:c r="D7" s="30" t="str">
        <x:v>initiating_event</x:v>
      </x:c>
      <x:c r="E7" s="30" t="str">
        <x:v>C</x:v>
      </x:c>
      <x:c r="F7" s="30" t="str">
        <x:v>Hans trades the cow.</x:v>
      </x:c>
      <x:c r="G7" s="30" t="str">
        <x:v>오답</x:v>
      </x:c>
      <x:c r="H7" s="30" t="n">
        <x:v>1</x:v>
      </x:c>
      <x:c r="I7" s="30" t="n">
        <x:v>33</x:v>
      </x:c>
      <x:c r="J7" s="30" t="str">
        <x:v>story_phase_confusion</x:v>
      </x:c>
      <x:c r="K7" s="30" t="str">
        <x:v>반복되는 거래 장면을 사건 시작으로 혼동합니다.</x:v>
      </x:c>
      <x:c r="L7" s="30" t="str">
        <x:v>배경·문제 시작·결과·해결 장면을 네 칸으로 나누어 비교합니다.</x:v>
      </x:c>
    </x:row>
    <x:row r="8">
      <x:c r="A8" s="31" t="str">
        <x:v>CS0003</x:v>
      </x:c>
      <x:c r="B8" s="31" t="str">
        <x:v>Hans in Luck</x:v>
      </x:c>
      <x:c r="C8" s="31" t="str">
        <x:v>Q3</x:v>
      </x:c>
      <x:c r="D8" s="31" t="str">
        <x:v>initiating_event</x:v>
      </x:c>
      <x:c r="E8" s="31" t="str">
        <x:v>D</x:v>
      </x:c>
      <x:c r="F8" s="31" t="str">
        <x:v>Hans feels free.</x:v>
      </x:c>
      <x:c r="G8" s="31" t="str">
        <x:v>오답</x:v>
      </x:c>
      <x:c r="H8" s="31" t="n">
        <x:v>0</x:v>
      </x:c>
      <x:c r="I8" s="31" t="n">
        <x:v>0</x:v>
      </x:c>
      <x:c r="J8" s="31" t="str">
        <x:v>no_problem_evidence</x:v>
      </x:c>
      <x:c r="K8" s="31" t="str">
        <x:v>결말 장면을 사건 시작으로 혼동합니다.</x:v>
      </x:c>
      <x:c r="L8" s="31" t="str">
        <x:v>오디오를 다시 듣고 ‘처음 큰 변화’가 생기는 장면을 함께 찾습니다.</x:v>
      </x:c>
    </x:row>
    <x:row r="9">
      <x:c r="A9" s="30" t="str">
        <x:v>CS0003</x:v>
      </x:c>
      <x:c r="B9" s="30" t="str">
        <x:v>Hans in Luck</x:v>
      </x:c>
      <x:c r="C9" s="30" t="str">
        <x:v>Q5</x:v>
      </x:c>
      <x:c r="D9" s="30" t="str">
        <x:v>reaction</x:v>
      </x:c>
      <x:c r="E9" s="30" t="str">
        <x:v>A</x:v>
      </x:c>
      <x:c r="F9" s="30" t="str">
        <x:v>happy</x:v>
      </x:c>
      <x:c r="G9" s="30" t="str">
        <x:v>오답</x:v>
      </x:c>
      <x:c r="H9" s="30" t="n">
        <x:v>1</x:v>
      </x:c>
      <x:c r="I9" s="30" t="n">
        <x:v>33</x:v>
      </x:c>
      <x:c r="J9" s="30" t="str">
        <x:v>story_phase_emotion_confusion</x:v>
      </x:c>
      <x:c r="K9" s="30" t="str">
        <x:v>결말의 기쁨을 문제 장면에 적용합니다.</x:v>
      </x:c>
      <x:c r="L9" s="30" t="str">
        <x:v>현재 장면과 다른 장면의 감정을 비교하고, 언제 감정이 바뀌었는지 찾습니다.</x:v>
      </x:c>
    </x:row>
    <x:row r="10">
      <x:c r="A10" s="28" t="str">
        <x:v>CS0003</x:v>
      </x:c>
      <x:c r="B10" s="28" t="str">
        <x:v>Hans in Luck</x:v>
      </x:c>
      <x:c r="C10" s="28" t="str">
        <x:v>Q5</x:v>
      </x:c>
      <x:c r="D10" s="28" t="str">
        <x:v>reaction</x:v>
      </x:c>
      <x:c r="E10" s="28" t="str">
        <x:v>B</x:v>
      </x:c>
      <x:c r="F10" s="28" t="str">
        <x:v>afraid</x:v>
      </x:c>
      <x:c r="G10" s="28" t="str">
        <x:v>정답</x:v>
      </x:c>
      <x:c r="H10" s="28" t="n">
        <x:v>3</x:v>
      </x:c>
      <x:c r="I10" s="28" t="n">
        <x:v>100</x:v>
      </x:c>
      <x:c r="J10" s="28" t="str">
        <x:v>none</x:v>
      </x:c>
      <x:c r="K10" s="28" t="str">
        <x:v>핵심 요소와 관계를 정확히 연결</x:v>
      </x:c>
      <x:c r="L10" s="28" t="str">
        <x:v>감정을 뒷받침하는 장면 단서를 한 가지 말합니다.</x:v>
      </x:c>
    </x:row>
    <x:row r="11">
      <x:c r="A11" s="29" t="str">
        <x:v>CS0003</x:v>
      </x:c>
      <x:c r="B11" s="29" t="str">
        <x:v>Hans in Luck</x:v>
      </x:c>
      <x:c r="C11" s="29" t="str">
        <x:v>Q5</x:v>
      </x:c>
      <x:c r="D11" s="29" t="str">
        <x:v>reaction</x:v>
      </x:c>
      <x:c r="E11" s="29" t="str">
        <x:v>C</x:v>
      </x:c>
      <x:c r="F11" s="29" t="str">
        <x:v>angry</x:v>
      </x:c>
      <x:c r="G11" s="29" t="str">
        <x:v>오답</x:v>
      </x:c>
      <x:c r="H11" s="29" t="n">
        <x:v>2</x:v>
      </x:c>
      <x:c r="I11" s="29" t="n">
        <x:v>67</x:v>
      </x:c>
      <x:c r="J11" s="29" t="str">
        <x:v>emotion_specificity_confusion</x:v>
      </x:c>
      <x:c r="K11" s="29" t="str">
        <x:v>부정 감정은 파악했으나 두려움과 분노를 혼동합니다.</x:v>
      </x:c>
      <x:c r="L11" s="29" t="str">
        <x:v>감정의 방향은 맞았으므로 표정·사건 단서로 정확한 감정어를 구분합니다.</x:v>
      </x:c>
    </x:row>
    <x:row r="12">
      <x:c r="A12" s="31" t="str">
        <x:v>CS0003</x:v>
      </x:c>
      <x:c r="B12" s="31" t="str">
        <x:v>Hans in Luck</x:v>
      </x:c>
      <x:c r="C12" s="31" t="str">
        <x:v>Q5</x:v>
      </x:c>
      <x:c r="D12" s="31" t="str">
        <x:v>reaction</x:v>
      </x:c>
      <x:c r="E12" s="31" t="str">
        <x:v>D</x:v>
      </x:c>
      <x:c r="F12" s="31" t="str">
        <x:v>proud</x:v>
      </x:c>
      <x:c r="G12" s="31" t="str">
        <x:v>오답</x:v>
      </x:c>
      <x:c r="H12" s="31" t="n">
        <x:v>0</x:v>
      </x:c>
      <x:c r="I12" s="31" t="n">
        <x:v>0</x:v>
      </x:c>
      <x:c r="J12" s="31" t="str">
        <x:v>no_emotion_evidence</x:v>
      </x:c>
      <x:c r="K12" s="31" t="str">
        <x:v>장면의 위험 신호를 놓칩니다.</x:v>
      </x:c>
      <x:c r="L12" s="31" t="str">
        <x:v>현재 장면의 사건과 표정을 다시 보고 긍정·부정 감정부터 구분합니다.</x:v>
      </x:c>
    </x:row>
    <x:row r="13">
      <x:c r="A13" s="28" t="str">
        <x:v>CS0003</x:v>
      </x:c>
      <x:c r="B13" s="28" t="str">
        <x:v>Hans in Luck</x:v>
      </x:c>
      <x:c r="C13" s="28" t="str">
        <x:v>Q6</x:v>
      </x:c>
      <x:c r="D13" s="28" t="str">
        <x:v>internal_response</x:v>
      </x:c>
      <x:c r="E13" s="28" t="str">
        <x:v>A</x:v>
      </x:c>
      <x:c r="F13" s="28" t="str">
        <x:v>I am free now.</x:v>
      </x:c>
      <x:c r="G13" s="28" t="str">
        <x:v>정답</x:v>
      </x:c>
      <x:c r="H13" s="28" t="n">
        <x:v>3</x:v>
      </x:c>
      <x:c r="I13" s="28" t="n">
        <x:v>100</x:v>
      </x:c>
      <x:c r="J13" s="28" t="str">
        <x:v>none</x:v>
      </x:c>
      <x:c r="K13" s="28" t="str">
        <x:v>핵심 요소와 관계를 정확히 연결</x:v>
      </x:c>
      <x:c r="L13" s="28" t="str">
        <x:v>생각이나 깨달음을 뒷받침하는 행동·말을 한 가지 설명합니다.</x:v>
      </x:c>
    </x:row>
    <x:row r="14">
      <x:c r="A14" s="31" t="str">
        <x:v>CS0003</x:v>
      </x:c>
      <x:c r="B14" s="31" t="str">
        <x:v>Hans in Luck</x:v>
      </x:c>
      <x:c r="C14" s="31" t="str">
        <x:v>Q6</x:v>
      </x:c>
      <x:c r="D14" s="31" t="str">
        <x:v>internal_response</x:v>
      </x:c>
      <x:c r="E14" s="31" t="str">
        <x:v>B</x:v>
      </x:c>
      <x:c r="F14" s="31" t="str">
        <x:v>I need more gold.</x:v>
      </x:c>
      <x:c r="G14" s="31" t="str">
        <x:v>오답</x:v>
      </x:c>
      <x:c r="H14" s="31" t="n">
        <x:v>0</x:v>
      </x:c>
      <x:c r="I14" s="31" t="n">
        <x:v>0</x:v>
      </x:c>
      <x:c r="J14" s="31" t="str">
        <x:v>opposite_or_no_inference</x:v>
      </x:c>
      <x:c r="K14" s="31" t="str">
        <x:v>초반 목표를 결말의 깨달음으로 혼동합니다.</x:v>
      </x:c>
      <x:c r="L14" s="31" t="str">
        <x:v>결말 장면을 다시 읽고 인물이 이전과 달라진 점부터 찾습니다.</x:v>
      </x:c>
    </x:row>
    <x:row r="15">
      <x:c r="A15" s="30" t="str">
        <x:v>CS0003</x:v>
      </x:c>
      <x:c r="B15" s="30" t="str">
        <x:v>Hans in Luck</x:v>
      </x:c>
      <x:c r="C15" s="30" t="str">
        <x:v>Q6</x:v>
      </x:c>
      <x:c r="D15" s="30" t="str">
        <x:v>internal_response</x:v>
      </x:c>
      <x:c r="E15" s="30" t="str">
        <x:v>C</x:v>
      </x:c>
      <x:c r="F15" s="30" t="str">
        <x:v>I want the horse back.</x:v>
      </x:c>
      <x:c r="G15" s="30" t="str">
        <x:v>오답</x:v>
      </x:c>
      <x:c r="H15" s="30" t="n">
        <x:v>1</x:v>
      </x:c>
      <x:c r="I15" s="30" t="n">
        <x:v>33</x:v>
      </x:c>
      <x:c r="J15" s="30" t="str">
        <x:v>related_inference_misconnection</x:v>
      </x:c>
      <x:c r="K15" s="30" t="str">
        <x:v>이전 거래 장면에 머무릅니다.</x:v>
      </x:c>
      <x:c r="L15" s="30" t="str">
        <x:v>인물의 말·행동과 속마음을 ‘그래서’로 연결해 다시 추론합니다.</x:v>
      </x:c>
    </x:row>
    <x:row r="16">
      <x:c r="A16" s="30" t="str">
        <x:v>CS0003</x:v>
      </x:c>
      <x:c r="B16" s="30" t="str">
        <x:v>Hans in Luck</x:v>
      </x:c>
      <x:c r="C16" s="30" t="str">
        <x:v>Q6</x:v>
      </x:c>
      <x:c r="D16" s="30" t="str">
        <x:v>internal_response</x:v>
      </x:c>
      <x:c r="E16" s="30" t="str">
        <x:v>D</x:v>
      </x:c>
      <x:c r="F16" s="30" t="str">
        <x:v>I am in trouble.</x:v>
      </x:c>
      <x:c r="G16" s="30" t="str">
        <x:v>오답</x:v>
      </x:c>
      <x:c r="H16" s="30" t="n">
        <x:v>1</x:v>
      </x:c>
      <x:c r="I16" s="30" t="n">
        <x:v>33</x:v>
      </x:c>
      <x:c r="J16" s="30" t="str">
        <x:v>related_inference_misconnection</x:v>
      </x:c>
      <x:c r="K16" s="30" t="str">
        <x:v>중간 위기 장면의 생각을 결말에 적용합니다.</x:v>
      </x:c>
      <x:c r="L16" s="30" t="str">
        <x:v>인물의 말·행동과 속마음을 ‘그래서’로 연결해 다시 추론합니다.</x:v>
      </x:c>
    </x:row>
    <x:row r="17">
      <x:c r="A17" s="28" t="str">
        <x:v>CS0006</x:v>
      </x:c>
      <x:c r="B17" s="28" t="str">
        <x:v>The Cat in Boots</x:v>
      </x:c>
      <x:c r="C17" s="28" t="str">
        <x:v>Q3</x:v>
      </x:c>
      <x:c r="D17" s="28" t="str">
        <x:v>initiating_event</x:v>
      </x:c>
      <x:c r="E17" s="28" t="str">
        <x:v>A</x:v>
      </x:c>
      <x:c r="F17" s="28" t="str">
        <x:v>The youngest son gets only a cat.</x:v>
      </x:c>
      <x:c r="G17" s="28" t="str">
        <x:v>정답</x:v>
      </x:c>
      <x:c r="H17" s="28" t="n">
        <x:v>3</x:v>
      </x:c>
      <x:c r="I17" s="28" t="n">
        <x:v>100</x:v>
      </x:c>
      <x:c r="J17" s="28" t="str">
        <x:v>none</x:v>
      </x:c>
      <x:c r="K17" s="28" t="str">
        <x:v>핵심 요소와 관계를 정확히 연결</x:v>
      </x:c>
      <x:c r="L17" s="28" t="str">
        <x:v>문제가 시작된 까닭과 다음 사건을 연결해 말합니다.</x:v>
      </x:c>
    </x:row>
    <x:row r="18">
      <x:c r="A18" s="30" t="str">
        <x:v>CS0006</x:v>
      </x:c>
      <x:c r="B18" s="30" t="str">
        <x:v>The Cat in Boots</x:v>
      </x:c>
      <x:c r="C18" s="30" t="str">
        <x:v>Q3</x:v>
      </x:c>
      <x:c r="D18" s="30" t="str">
        <x:v>initiating_event</x:v>
      </x:c>
      <x:c r="E18" s="30" t="str">
        <x:v>B</x:v>
      </x:c>
      <x:c r="F18" s="30" t="str">
        <x:v>The Cat gives a rabbit to the King.</x:v>
      </x:c>
      <x:c r="G18" s="30" t="str">
        <x:v>오답</x:v>
      </x:c>
      <x:c r="H18" s="30" t="n">
        <x:v>1</x:v>
      </x:c>
      <x:c r="I18" s="30" t="n">
        <x:v>33</x:v>
      </x:c>
      <x:c r="J18" s="30" t="str">
        <x:v>story_phase_confusion</x:v>
      </x:c>
      <x:c r="K18" s="30" t="str">
        <x:v>문제 이후의 첫 성과 장면을 사건 시작으로 혼동합니다.</x:v>
      </x:c>
      <x:c r="L18" s="30" t="str">
        <x:v>배경·문제 시작·결과·해결 장면을 네 칸으로 나누어 비교합니다.</x:v>
      </x:c>
    </x:row>
    <x:row r="19">
      <x:c r="A19" s="30" t="str">
        <x:v>CS0006</x:v>
      </x:c>
      <x:c r="B19" s="30" t="str">
        <x:v>The Cat in Boots</x:v>
      </x:c>
      <x:c r="C19" s="30" t="str">
        <x:v>Q3</x:v>
      </x:c>
      <x:c r="D19" s="30" t="str">
        <x:v>initiating_event</x:v>
      </x:c>
      <x:c r="E19" s="30" t="str">
        <x:v>C</x:v>
      </x:c>
      <x:c r="F19" s="30" t="str">
        <x:v>The Cat cries for help.</x:v>
      </x:c>
      <x:c r="G19" s="30" t="str">
        <x:v>오답</x:v>
      </x:c>
      <x:c r="H19" s="30" t="n">
        <x:v>1</x:v>
      </x:c>
      <x:c r="I19" s="30" t="n">
        <x:v>33</x:v>
      </x:c>
      <x:c r="J19" s="30" t="str">
        <x:v>story_phase_confusion</x:v>
      </x:c>
      <x:c r="K19" s="30" t="str">
        <x:v>중간 계획 장면을 시작 사건으로 혼동합니다.</x:v>
      </x:c>
      <x:c r="L19" s="30" t="str">
        <x:v>배경·문제 시작·결과·해결 장면을 네 칸으로 나누어 비교합니다.</x:v>
      </x:c>
    </x:row>
    <x:row r="20">
      <x:c r="A20" s="31" t="str">
        <x:v>CS0006</x:v>
      </x:c>
      <x:c r="B20" s="31" t="str">
        <x:v>The Cat in Boots</x:v>
      </x:c>
      <x:c r="C20" s="31" t="str">
        <x:v>Q3</x:v>
      </x:c>
      <x:c r="D20" s="31" t="str">
        <x:v>initiating_event</x:v>
      </x:c>
      <x:c r="E20" s="31" t="str">
        <x:v>D</x:v>
      </x:c>
      <x:c r="F20" s="31" t="str">
        <x:v>The Cat catches the mouse.</x:v>
      </x:c>
      <x:c r="G20" s="31" t="str">
        <x:v>오답</x:v>
      </x:c>
      <x:c r="H20" s="31" t="n">
        <x:v>0</x:v>
      </x:c>
      <x:c r="I20" s="31" t="n">
        <x:v>0</x:v>
      </x:c>
      <x:c r="J20" s="31" t="str">
        <x:v>no_problem_evidence</x:v>
      </x:c>
      <x:c r="K20" s="31" t="str">
        <x:v>해결 장면을 시작 사건으로 혼동합니다.</x:v>
      </x:c>
      <x:c r="L20" s="31" t="str">
        <x:v>오디오를 다시 듣고 ‘처음 큰 변화’가 생기는 장면을 함께 찾습니다.</x:v>
      </x:c>
    </x:row>
    <x:row r="21">
      <x:c r="A21" s="28" t="str">
        <x:v>CS0006</x:v>
      </x:c>
      <x:c r="B21" s="28" t="str">
        <x:v>The Cat in Boots</x:v>
      </x:c>
      <x:c r="C21" s="28" t="str">
        <x:v>Q5</x:v>
      </x:c>
      <x:c r="D21" s="28" t="str">
        <x:v>reaction</x:v>
      </x:c>
      <x:c r="E21" s="28" t="str">
        <x:v>A</x:v>
      </x:c>
      <x:c r="F21" s="28" t="str">
        <x:v>afraid</x:v>
      </x:c>
      <x:c r="G21" s="28" t="str">
        <x:v>정답</x:v>
      </x:c>
      <x:c r="H21" s="28" t="n">
        <x:v>3</x:v>
      </x:c>
      <x:c r="I21" s="28" t="n">
        <x:v>100</x:v>
      </x:c>
      <x:c r="J21" s="28" t="str">
        <x:v>none</x:v>
      </x:c>
      <x:c r="K21" s="28" t="str">
        <x:v>핵심 요소와 관계를 정확히 연결</x:v>
      </x:c>
      <x:c r="L21" s="28" t="str">
        <x:v>감정을 뒷받침하는 장면 단서를 한 가지 말합니다.</x:v>
      </x:c>
    </x:row>
    <x:row r="22">
      <x:c r="A22" s="30" t="str">
        <x:v>CS0006</x:v>
      </x:c>
      <x:c r="B22" s="30" t="str">
        <x:v>The Cat in Boots</x:v>
      </x:c>
      <x:c r="C22" s="30" t="str">
        <x:v>Q5</x:v>
      </x:c>
      <x:c r="D22" s="30" t="str">
        <x:v>reaction</x:v>
      </x:c>
      <x:c r="E22" s="30" t="str">
        <x:v>B</x:v>
      </x:c>
      <x:c r="F22" s="30" t="str">
        <x:v>happy</x:v>
      </x:c>
      <x:c r="G22" s="30" t="str">
        <x:v>오답</x:v>
      </x:c>
      <x:c r="H22" s="30" t="n">
        <x:v>1</x:v>
      </x:c>
      <x:c r="I22" s="30" t="n">
        <x:v>33</x:v>
      </x:c>
      <x:c r="J22" s="30" t="str">
        <x:v>story_phase_emotion_confusion</x:v>
      </x:c>
      <x:c r="K22" s="30" t="str">
        <x:v>장면의 위험보다 성공 결과를 먼저 떠올림</x:v>
      </x:c>
      <x:c r="L22" s="30" t="str">
        <x:v>현재 장면과 다른 장면의 감정을 비교하고, 언제 감정이 바뀌었는지 찾습니다.</x:v>
      </x:c>
    </x:row>
    <x:row r="23">
      <x:c r="A23" s="29" t="str">
        <x:v>CS0006</x:v>
      </x:c>
      <x:c r="B23" s="29" t="str">
        <x:v>The Cat in Boots</x:v>
      </x:c>
      <x:c r="C23" s="29" t="str">
        <x:v>Q5</x:v>
      </x:c>
      <x:c r="D23" s="29" t="str">
        <x:v>reaction</x:v>
      </x:c>
      <x:c r="E23" s="29" t="str">
        <x:v>C</x:v>
      </x:c>
      <x:c r="F23" s="29" t="str">
        <x:v>angry</x:v>
      </x:c>
      <x:c r="G23" s="29" t="str">
        <x:v>오답</x:v>
      </x:c>
      <x:c r="H23" s="29" t="n">
        <x:v>2</x:v>
      </x:c>
      <x:c r="I23" s="29" t="n">
        <x:v>67</x:v>
      </x:c>
      <x:c r="J23" s="29" t="str">
        <x:v>emotion_specificity_confusion</x:v>
      </x:c>
      <x:c r="K23" s="29" t="str">
        <x:v>긴장감은 파악했으나 감정을 혼동합니다.</x:v>
      </x:c>
      <x:c r="L23" s="29" t="str">
        <x:v>감정의 방향은 맞았으므로 표정·사건 단서로 정확한 감정어를 구분합니다.</x:v>
      </x:c>
    </x:row>
    <x:row r="24">
      <x:c r="A24" s="31" t="str">
        <x:v>CS0006</x:v>
      </x:c>
      <x:c r="B24" s="31" t="str">
        <x:v>The Cat in Boots</x:v>
      </x:c>
      <x:c r="C24" s="31" t="str">
        <x:v>Q5</x:v>
      </x:c>
      <x:c r="D24" s="31" t="str">
        <x:v>reaction</x:v>
      </x:c>
      <x:c r="E24" s="31" t="str">
        <x:v>D</x:v>
      </x:c>
      <x:c r="F24" s="31" t="str">
        <x:v>bored</x:v>
      </x:c>
      <x:c r="G24" s="31" t="str">
        <x:v>오답</x:v>
      </x:c>
      <x:c r="H24" s="31" t="n">
        <x:v>0</x:v>
      </x:c>
      <x:c r="I24" s="31" t="n">
        <x:v>0</x:v>
      </x:c>
      <x:c r="J24" s="31" t="str">
        <x:v>no_emotion_evidence</x:v>
      </x:c>
      <x:c r="K24" s="31" t="str">
        <x:v>장면의 긴박함을 놓칩니다.</x:v>
      </x:c>
      <x:c r="L24" s="31" t="str">
        <x:v>현재 장면의 사건과 표정을 다시 보고 긍정·부정 감정부터 구분합니다.</x:v>
      </x:c>
    </x:row>
    <x:row r="25">
      <x:c r="A25" s="28" t="str">
        <x:v>CS0006</x:v>
      </x:c>
      <x:c r="B25" s="28" t="str">
        <x:v>The Cat in Boots</x:v>
      </x:c>
      <x:c r="C25" s="28" t="str">
        <x:v>Q6</x:v>
      </x:c>
      <x:c r="D25" s="28" t="str">
        <x:v>internal_response</x:v>
      </x:c>
      <x:c r="E25" s="28" t="str">
        <x:v>A</x:v>
      </x:c>
      <x:c r="F25" s="28" t="str">
        <x:v>I can trick the Giant.</x:v>
      </x:c>
      <x:c r="G25" s="28" t="str">
        <x:v>정답</x:v>
      </x:c>
      <x:c r="H25" s="28" t="n">
        <x:v>3</x:v>
      </x:c>
      <x:c r="I25" s="28" t="n">
        <x:v>100</x:v>
      </x:c>
      <x:c r="J25" s="28" t="str">
        <x:v>none</x:v>
      </x:c>
      <x:c r="K25" s="28" t="str">
        <x:v>핵심 요소와 관계를 정확히 연결</x:v>
      </x:c>
      <x:c r="L25" s="28" t="str">
        <x:v>생각이나 깨달음을 뒷받침하는 행동·말을 한 가지 설명합니다.</x:v>
      </x:c>
    </x:row>
    <x:row r="26">
      <x:c r="A26" s="30" t="str">
        <x:v>CS0006</x:v>
      </x:c>
      <x:c r="B26" s="30" t="str">
        <x:v>The Cat in Boots</x:v>
      </x:c>
      <x:c r="C26" s="30" t="str">
        <x:v>Q6</x:v>
      </x:c>
      <x:c r="D26" s="30" t="str">
        <x:v>internal_response</x:v>
      </x:c>
      <x:c r="E26" s="30" t="str">
        <x:v>B</x:v>
      </x:c>
      <x:c r="F26" s="30" t="str">
        <x:v>I should run away now.</x:v>
      </x:c>
      <x:c r="G26" s="30" t="str">
        <x:v>오답</x:v>
      </x:c>
      <x:c r="H26" s="30" t="n">
        <x:v>1</x:v>
      </x:c>
      <x:c r="I26" s="30" t="n">
        <x:v>33</x:v>
      </x:c>
      <x:c r="J26" s="30" t="str">
        <x:v>related_inference_misconnection</x:v>
      </x:c>
      <x:c r="K26" s="30" t="str">
        <x:v>두려움 반응과 다음 계획을 혼동합니다.</x:v>
      </x:c>
      <x:c r="L26" s="30" t="str">
        <x:v>인물의 말·행동과 속마음을 ‘그래서’로 연결해 다시 추론합니다.</x:v>
      </x:c>
    </x:row>
    <x:row r="27">
      <x:c r="A27" s="31" t="str">
        <x:v>CS0006</x:v>
      </x:c>
      <x:c r="B27" s="31" t="str">
        <x:v>The Cat in Boots</x:v>
      </x:c>
      <x:c r="C27" s="31" t="str">
        <x:v>Q6</x:v>
      </x:c>
      <x:c r="D27" s="31" t="str">
        <x:v>internal_response</x:v>
      </x:c>
      <x:c r="E27" s="31" t="str">
        <x:v>C</x:v>
      </x:c>
      <x:c r="F27" s="31" t="str">
        <x:v>I want to give the King a rabbit.</x:v>
      </x:c>
      <x:c r="G27" s="31" t="str">
        <x:v>오답</x:v>
      </x:c>
      <x:c r="H27" s="31" t="n">
        <x:v>0</x:v>
      </x:c>
      <x:c r="I27" s="31" t="n">
        <x:v>0</x:v>
      </x:c>
      <x:c r="J27" s="31" t="str">
        <x:v>opposite_or_no_inference</x:v>
      </x:c>
      <x:c r="K27" s="31" t="str">
        <x:v>초반 행동을 후반 생각으로 혼동합니다.</x:v>
      </x:c>
      <x:c r="L27" s="31" t="str">
        <x:v>결말 장면을 다시 읽고 인물이 이전과 달라진 점부터 찾습니다.</x:v>
      </x:c>
    </x:row>
    <x:row r="28">
      <x:c r="A28" s="31" t="str">
        <x:v>CS0006</x:v>
      </x:c>
      <x:c r="B28" s="31" t="str">
        <x:v>The Cat in Boots</x:v>
      </x:c>
      <x:c r="C28" s="31" t="str">
        <x:v>Q6</x:v>
      </x:c>
      <x:c r="D28" s="31" t="str">
        <x:v>internal_response</x:v>
      </x:c>
      <x:c r="E28" s="31" t="str">
        <x:v>D</x:v>
      </x:c>
      <x:c r="F28" s="31" t="str">
        <x:v>The castle is too small.</x:v>
      </x:c>
      <x:c r="G28" s="31" t="str">
        <x:v>오답</x:v>
      </x:c>
      <x:c r="H28" s="31" t="n">
        <x:v>0</x:v>
      </x:c>
      <x:c r="I28" s="31" t="n">
        <x:v>0</x:v>
      </x:c>
      <x:c r="J28" s="31" t="str">
        <x:v>opposite_or_no_inference</x:v>
      </x:c>
      <x:c r="K28" s="31" t="str">
        <x:v>이야기와 무관한 생각을 선택합니다.</x:v>
      </x:c>
      <x:c r="L28" s="31" t="str">
        <x:v>결말 장면을 다시 읽고 인물이 이전과 달라진 점부터 찾습니다.</x:v>
      </x:c>
    </x:row>
    <x:row r="29">
      <x:c r="A29" s="30" t="str">
        <x:v>OG0005</x:v>
      </x:c>
      <x:c r="B29" s="30" t="str">
        <x:v>The Rainbow Cloud in the Box</x:v>
      </x:c>
      <x:c r="C29" s="30" t="str">
        <x:v>Q3</x:v>
      </x:c>
      <x:c r="D29" s="30" t="str">
        <x:v>initiating_event</x:v>
      </x:c>
      <x:c r="E29" s="30" t="str">
        <x:v>A</x:v>
      </x:c>
      <x:c r="F29" s="30" t="str">
        <x:v>Podo and Didi watch the sky.</x:v>
      </x:c>
      <x:c r="G29" s="30" t="str">
        <x:v>오답</x:v>
      </x:c>
      <x:c r="H29" s="30" t="n">
        <x:v>1</x:v>
      </x:c>
      <x:c r="I29" s="30" t="n">
        <x:v>33</x:v>
      </x:c>
      <x:c r="J29" s="30" t="str">
        <x:v>story_phase_confusion</x:v>
      </x:c>
      <x:c r="K29" s="30" t="str">
        <x:v>배경 장면을 사건 시작으로 혼동합니다.</x:v>
      </x:c>
      <x:c r="L29" s="30" t="str">
        <x:v>배경·문제 시작·결과·해결 장면을 네 칸으로 나누어 비교합니다.</x:v>
      </x:c>
    </x:row>
    <x:row r="30">
      <x:c r="A30" s="28" t="str">
        <x:v>OG0005</x:v>
      </x:c>
      <x:c r="B30" s="28" t="str">
        <x:v>The Rainbow Cloud in the Box</x:v>
      </x:c>
      <x:c r="C30" s="28" t="str">
        <x:v>Q3</x:v>
      </x:c>
      <x:c r="D30" s="28" t="str">
        <x:v>initiating_event</x:v>
      </x:c>
      <x:c r="E30" s="28" t="str">
        <x:v>B</x:v>
      </x:c>
      <x:c r="F30" s="28" t="str">
        <x:v>Didi wants to capture the cloud.</x:v>
      </x:c>
      <x:c r="G30" s="28" t="str">
        <x:v>정답</x:v>
      </x:c>
      <x:c r="H30" s="28" t="n">
        <x:v>3</x:v>
      </x:c>
      <x:c r="I30" s="28" t="n">
        <x:v>100</x:v>
      </x:c>
      <x:c r="J30" s="28" t="str">
        <x:v>none</x:v>
      </x:c>
      <x:c r="K30" s="28" t="str">
        <x:v>핵심 요소와 관계를 정확히 연결</x:v>
      </x:c>
      <x:c r="L30" s="28" t="str">
        <x:v>문제가 시작된 까닭과 다음 사건을 연결해 말합니다.</x:v>
      </x:c>
    </x:row>
    <x:row r="31">
      <x:c r="A31" s="30" t="str">
        <x:v>OG0005</x:v>
      </x:c>
      <x:c r="B31" s="30" t="str">
        <x:v>The Rainbow Cloud in the Box</x:v>
      </x:c>
      <x:c r="C31" s="30" t="str">
        <x:v>Q3</x:v>
      </x:c>
      <x:c r="D31" s="30" t="str">
        <x:v>initiating_event</x:v>
      </x:c>
      <x:c r="E31" s="30" t="str">
        <x:v>C</x:v>
      </x:c>
      <x:c r="F31" s="30" t="str">
        <x:v>The cloud turns gray.</x:v>
      </x:c>
      <x:c r="G31" s="30" t="str">
        <x:v>오답</x:v>
      </x:c>
      <x:c r="H31" s="30" t="n">
        <x:v>1</x:v>
      </x:c>
      <x:c r="I31" s="30" t="n">
        <x:v>33</x:v>
      </x:c>
      <x:c r="J31" s="30" t="str">
        <x:v>story_phase_confusion</x:v>
      </x:c>
      <x:c r="K31" s="30" t="str">
        <x:v>문제의 시작이 아니라 결과 장면을 선택합니다.</x:v>
      </x:c>
      <x:c r="L31" s="30" t="str">
        <x:v>배경·문제 시작·결과·해결 장면을 네 칸으로 나누어 비교합니다.</x:v>
      </x:c>
    </x:row>
    <x:row r="32">
      <x:c r="A32" s="31" t="str">
        <x:v>OG0005</x:v>
      </x:c>
      <x:c r="B32" s="31" t="str">
        <x:v>The Rainbow Cloud in the Box</x:v>
      </x:c>
      <x:c r="C32" s="31" t="str">
        <x:v>Q3</x:v>
      </x:c>
      <x:c r="D32" s="31" t="str">
        <x:v>initiating_event</x:v>
      </x:c>
      <x:c r="E32" s="31" t="str">
        <x:v>D</x:v>
      </x:c>
      <x:c r="F32" s="31" t="str">
        <x:v>The cloud comes back to life.</x:v>
      </x:c>
      <x:c r="G32" s="31" t="str">
        <x:v>오답</x:v>
      </x:c>
      <x:c r="H32" s="31" t="n">
        <x:v>0</x:v>
      </x:c>
      <x:c r="I32" s="31" t="n">
        <x:v>0</x:v>
      </x:c>
      <x:c r="J32" s="31" t="str">
        <x:v>no_problem_evidence</x:v>
      </x:c>
      <x:c r="K32" s="31" t="str">
        <x:v>해결 장면을 발단으로 혼동합니다.</x:v>
      </x:c>
      <x:c r="L32" s="31" t="str">
        <x:v>오디오를 다시 듣고 ‘처음 큰 변화’가 생기는 장면을 함께 찾습니다.</x:v>
      </x:c>
    </x:row>
    <x:row r="33">
      <x:c r="A33" s="28" t="str">
        <x:v>OG0005</x:v>
      </x:c>
      <x:c r="B33" s="28" t="str">
        <x:v>The Rainbow Cloud in the Box</x:v>
      </x:c>
      <x:c r="C33" s="28" t="str">
        <x:v>Q5</x:v>
      </x:c>
      <x:c r="D33" s="28" t="str">
        <x:v>reaction</x:v>
      </x:c>
      <x:c r="E33" s="28" t="str">
        <x:v>A</x:v>
      </x:c>
      <x:c r="F33" s="28" t="str">
        <x:v>disappointed</x:v>
      </x:c>
      <x:c r="G33" s="28" t="str">
        <x:v>정답</x:v>
      </x:c>
      <x:c r="H33" s="28" t="n">
        <x:v>3</x:v>
      </x:c>
      <x:c r="I33" s="28" t="n">
        <x:v>100</x:v>
      </x:c>
      <x:c r="J33" s="28" t="str">
        <x:v>none</x:v>
      </x:c>
      <x:c r="K33" s="28" t="str">
        <x:v>핵심 요소와 관계를 정확히 연결</x:v>
      </x:c>
      <x:c r="L33" s="28" t="str">
        <x:v>감정을 뒷받침하는 장면 단서를 한 가지 말합니다.</x:v>
      </x:c>
    </x:row>
    <x:row r="34">
      <x:c r="A34" s="30" t="str">
        <x:v>OG0005</x:v>
      </x:c>
      <x:c r="B34" s="30" t="str">
        <x:v>The Rainbow Cloud in the Box</x:v>
      </x:c>
      <x:c r="C34" s="30" t="str">
        <x:v>Q5</x:v>
      </x:c>
      <x:c r="D34" s="30" t="str">
        <x:v>reaction</x:v>
      </x:c>
      <x:c r="E34" s="30" t="str">
        <x:v>B</x:v>
      </x:c>
      <x:c r="F34" s="30" t="str">
        <x:v>proud</x:v>
      </x:c>
      <x:c r="G34" s="30" t="str">
        <x:v>오답</x:v>
      </x:c>
      <x:c r="H34" s="30" t="n">
        <x:v>1</x:v>
      </x:c>
      <x:c r="I34" s="30" t="n">
        <x:v>33</x:v>
      </x:c>
      <x:c r="J34" s="30" t="str">
        <x:v>story_phase_emotion_confusion</x:v>
      </x:c>
      <x:c r="K34" s="30" t="str">
        <x:v>포획 직후 감정을 문제 장면에 적용합니다.</x:v>
      </x:c>
      <x:c r="L34" s="30" t="str">
        <x:v>현재 장면과 다른 장면의 감정을 비교하고, 언제 감정이 바뀌었는지 찾습니다.</x:v>
      </x:c>
    </x:row>
    <x:row r="35">
      <x:c r="A35" s="29" t="str">
        <x:v>OG0005</x:v>
      </x:c>
      <x:c r="B35" s="29" t="str">
        <x:v>The Rainbow Cloud in the Box</x:v>
      </x:c>
      <x:c r="C35" s="29" t="str">
        <x:v>Q5</x:v>
      </x:c>
      <x:c r="D35" s="29" t="str">
        <x:v>reaction</x:v>
      </x:c>
      <x:c r="E35" s="29" t="str">
        <x:v>C</x:v>
      </x:c>
      <x:c r="F35" s="29" t="str">
        <x:v>angry</x:v>
      </x:c>
      <x:c r="G35" s="29" t="str">
        <x:v>오답</x:v>
      </x:c>
      <x:c r="H35" s="29" t="n">
        <x:v>2</x:v>
      </x:c>
      <x:c r="I35" s="29" t="n">
        <x:v>67</x:v>
      </x:c>
      <x:c r="J35" s="29" t="str">
        <x:v>emotion_specificity_confusion</x:v>
      </x:c>
      <x:c r="K35" s="29" t="str">
        <x:v>부정 감정은 파악했으나 실망과 분노를 혼동합니다.</x:v>
      </x:c>
      <x:c r="L35" s="29" t="str">
        <x:v>감정의 방향은 맞았으므로 표정·사건 단서로 정확한 감정어를 구분합니다.</x:v>
      </x:c>
    </x:row>
    <x:row r="36">
      <x:c r="A36" s="31" t="str">
        <x:v>OG0005</x:v>
      </x:c>
      <x:c r="B36" s="31" t="str">
        <x:v>The Rainbow Cloud in the Box</x:v>
      </x:c>
      <x:c r="C36" s="31" t="str">
        <x:v>Q5</x:v>
      </x:c>
      <x:c r="D36" s="31" t="str">
        <x:v>reaction</x:v>
      </x:c>
      <x:c r="E36" s="31" t="str">
        <x:v>D</x:v>
      </x:c>
      <x:c r="F36" s="31" t="str">
        <x:v>sleepy</x:v>
      </x:c>
      <x:c r="G36" s="31" t="str">
        <x:v>오답</x:v>
      </x:c>
      <x:c r="H36" s="31" t="n">
        <x:v>0</x:v>
      </x:c>
      <x:c r="I36" s="31" t="n">
        <x:v>0</x:v>
      </x:c>
      <x:c r="J36" s="31" t="str">
        <x:v>no_emotion_evidence</x:v>
      </x:c>
      <x:c r="K36" s="31" t="str">
        <x:v>장면의 문제 상황을 놓칩니다.</x:v>
      </x:c>
      <x:c r="L36" s="31" t="str">
        <x:v>현재 장면의 사건과 표정을 다시 보고 긍정·부정 감정부터 구분합니다.</x:v>
      </x:c>
    </x:row>
    <x:row r="37">
      <x:c r="A37" s="28" t="str">
        <x:v>OG0005</x:v>
      </x:c>
      <x:c r="B37" s="28" t="str">
        <x:v>The Rainbow Cloud in the Box</x:v>
      </x:c>
      <x:c r="C37" s="28" t="str">
        <x:v>Q6</x:v>
      </x:c>
      <x:c r="D37" s="28" t="str">
        <x:v>internal_response</x:v>
      </x:c>
      <x:c r="E37" s="28" t="str">
        <x:v>A</x:v>
      </x:c>
      <x:c r="F37" s="28" t="str">
        <x:v>I made a mistake.</x:v>
      </x:c>
      <x:c r="G37" s="28" t="str">
        <x:v>정답</x:v>
      </x:c>
      <x:c r="H37" s="28" t="n">
        <x:v>3</x:v>
      </x:c>
      <x:c r="I37" s="28" t="n">
        <x:v>100</x:v>
      </x:c>
      <x:c r="J37" s="28" t="str">
        <x:v>none</x:v>
      </x:c>
      <x:c r="K37" s="28" t="str">
        <x:v>핵심 요소와 관계를 정확히 연결</x:v>
      </x:c>
      <x:c r="L37" s="28" t="str">
        <x:v>생각이나 깨달음을 뒷받침하는 행동·말을 한 가지 설명합니다.</x:v>
      </x:c>
    </x:row>
    <x:row r="38">
      <x:c r="A38" s="30" t="str">
        <x:v>OG0005</x:v>
      </x:c>
      <x:c r="B38" s="30" t="str">
        <x:v>The Rainbow Cloud in the Box</x:v>
      </x:c>
      <x:c r="C38" s="30" t="str">
        <x:v>Q6</x:v>
      </x:c>
      <x:c r="D38" s="30" t="str">
        <x:v>internal_response</x:v>
      </x:c>
      <x:c r="E38" s="30" t="str">
        <x:v>B</x:v>
      </x:c>
      <x:c r="F38" s="30" t="str">
        <x:v>I need a bigger box.</x:v>
      </x:c>
      <x:c r="G38" s="30" t="str">
        <x:v>오답</x:v>
      </x:c>
      <x:c r="H38" s="30" t="n">
        <x:v>1</x:v>
      </x:c>
      <x:c r="I38" s="30" t="n">
        <x:v>33</x:v>
      </x:c>
      <x:c r="J38" s="30" t="str">
        <x:v>related_inference_misconnection</x:v>
      </x:c>
      <x:c r="K38" s="30" t="str">
        <x:v>문제의 원인을 소유가 아닌 도구로 오해합니다.</x:v>
      </x:c>
      <x:c r="L38" s="30" t="str">
        <x:v>인물의 말·행동과 속마음을 ‘그래서’로 연결해 다시 추론합니다.</x:v>
      </x:c>
    </x:row>
    <x:row r="39">
      <x:c r="A39" s="31" t="str">
        <x:v>OG0005</x:v>
      </x:c>
      <x:c r="B39" s="31" t="str">
        <x:v>The Rainbow Cloud in the Box</x:v>
      </x:c>
      <x:c r="C39" s="31" t="str">
        <x:v>Q6</x:v>
      </x:c>
      <x:c r="D39" s="31" t="str">
        <x:v>internal_response</x:v>
      </x:c>
      <x:c r="E39" s="31" t="str">
        <x:v>C</x:v>
      </x:c>
      <x:c r="F39" s="31" t="str">
        <x:v>The cloud is mine forever.</x:v>
      </x:c>
      <x:c r="G39" s="31" t="str">
        <x:v>오답</x:v>
      </x:c>
      <x:c r="H39" s="31" t="n">
        <x:v>0</x:v>
      </x:c>
      <x:c r="I39" s="31" t="n">
        <x:v>0</x:v>
      </x:c>
      <x:c r="J39" s="31" t="str">
        <x:v>opposite_or_no_inference</x:v>
      </x:c>
      <x:c r="K39" s="31" t="str">
        <x:v>인물의 깨달음과 반대되는 생각을 선택합니다.</x:v>
      </x:c>
      <x:c r="L39" s="31" t="str">
        <x:v>결말 장면을 다시 읽고 인물이 이전과 달라진 점부터 찾습니다.</x:v>
      </x:c>
    </x:row>
    <x:row r="40">
      <x:c r="A40" s="31" t="str">
        <x:v>OG0005</x:v>
      </x:c>
      <x:c r="B40" s="31" t="str">
        <x:v>The Rainbow Cloud in the Box</x:v>
      </x:c>
      <x:c r="C40" s="31" t="str">
        <x:v>Q6</x:v>
      </x:c>
      <x:c r="D40" s="31" t="str">
        <x:v>internal_response</x:v>
      </x:c>
      <x:c r="E40" s="31" t="str">
        <x:v>D</x:v>
      </x:c>
      <x:c r="F40" s="31" t="str">
        <x:v>Podo should go away.</x:v>
      </x:c>
      <x:c r="G40" s="31" t="str">
        <x:v>오답</x:v>
      </x:c>
      <x:c r="H40" s="31" t="n">
        <x:v>0</x:v>
      </x:c>
      <x:c r="I40" s="31" t="n">
        <x:v>0</x:v>
      </x:c>
      <x:c r="J40" s="31" t="str">
        <x:v>opposite_or_no_inference</x:v>
      </x:c>
      <x:c r="K40" s="31" t="str">
        <x:v>친구의 조언을 내면 변화와 연결하지 못합니다.</x:v>
      </x:c>
      <x:c r="L40" s="31" t="str">
        <x:v>결말 장면을 다시 읽고 인물이 이전과 달라진 점부터 찾습니다.</x:v>
      </x:c>
    </x:row>
    <x:row r="41">
      <x:c r="A41" s="28" t="str">
        <x:v>OG0021</x:v>
      </x:c>
      <x:c r="B41" s="28" t="str">
        <x:v>Milo and the Lost Color</x:v>
      </x:c>
      <x:c r="C41" s="28" t="str">
        <x:v>Q3</x:v>
      </x:c>
      <x:c r="D41" s="28" t="str">
        <x:v>initiating_event</x:v>
      </x:c>
      <x:c r="E41" s="28" t="str">
        <x:v>A</x:v>
      </x:c>
      <x:c r="F41" s="28" t="str">
        <x:v>Milo wakes up gray.</x:v>
      </x:c>
      <x:c r="G41" s="28" t="str">
        <x:v>정답</x:v>
      </x:c>
      <x:c r="H41" s="28" t="n">
        <x:v>3</x:v>
      </x:c>
      <x:c r="I41" s="28" t="n">
        <x:v>100</x:v>
      </x:c>
      <x:c r="J41" s="28" t="str">
        <x:v>none</x:v>
      </x:c>
      <x:c r="K41" s="28" t="str">
        <x:v>핵심 요소와 관계를 정확히 연결</x:v>
      </x:c>
      <x:c r="L41" s="28" t="str">
        <x:v>문제가 시작된 까닭과 다음 사건을 연결해 말합니다.</x:v>
      </x:c>
    </x:row>
    <x:row r="42">
      <x:c r="A42" s="30" t="str">
        <x:v>OG0021</x:v>
      </x:c>
      <x:c r="B42" s="30" t="str">
        <x:v>Milo and the Lost Color</x:v>
      </x:c>
      <x:c r="C42" s="30" t="str">
        <x:v>Q3</x:v>
      </x:c>
      <x:c r="D42" s="30" t="str">
        <x:v>initiating_event</x:v>
      </x:c>
      <x:c r="E42" s="30" t="str">
        <x:v>B</x:v>
      </x:c>
      <x:c r="F42" s="30" t="str">
        <x:v>The butterfly keeps its color.</x:v>
      </x:c>
      <x:c r="G42" s="30" t="str">
        <x:v>오답</x:v>
      </x:c>
      <x:c r="H42" s="30" t="n">
        <x:v>1</x:v>
      </x:c>
      <x:c r="I42" s="30" t="n">
        <x:v>33</x:v>
      </x:c>
      <x:c r="J42" s="30" t="str">
        <x:v>story_phase_confusion</x:v>
      </x:c>
      <x:c r="K42" s="30" t="str">
        <x:v>문제의 시작이 아니라 첫 만남 장면을 선택합니다.</x:v>
      </x:c>
      <x:c r="L42" s="30" t="str">
        <x:v>배경·문제 시작·결과·해결 장면을 네 칸으로 나누어 비교합니다.</x:v>
      </x:c>
    </x:row>
    <x:row r="43">
      <x:c r="A43" s="30" t="str">
        <x:v>OG0021</x:v>
      </x:c>
      <x:c r="B43" s="30" t="str">
        <x:v>Milo and the Lost Color</x:v>
      </x:c>
      <x:c r="C43" s="30" t="str">
        <x:v>Q3</x:v>
      </x:c>
      <x:c r="D43" s="30" t="str">
        <x:v>initiating_event</x:v>
      </x:c>
      <x:c r="E43" s="30" t="str">
        <x:v>C</x:v>
      </x:c>
      <x:c r="F43" s="30" t="str">
        <x:v>The pond shines.</x:v>
      </x:c>
      <x:c r="G43" s="30" t="str">
        <x:v>오답</x:v>
      </x:c>
      <x:c r="H43" s="30" t="n">
        <x:v>1</x:v>
      </x:c>
      <x:c r="I43" s="30" t="n">
        <x:v>33</x:v>
      </x:c>
      <x:c r="J43" s="30" t="str">
        <x:v>story_phase_confusion</x:v>
      </x:c>
      <x:c r="K43" s="30" t="str">
        <x:v>해결의 실마리 장면을 사건 시작으로 혼동합니다.</x:v>
      </x:c>
      <x:c r="L43" s="30" t="str">
        <x:v>배경·문제 시작·결과·해결 장면을 네 칸으로 나누어 비교합니다.</x:v>
      </x:c>
    </x:row>
    <x:row r="44">
      <x:c r="A44" s="31" t="str">
        <x:v>OG0021</x:v>
      </x:c>
      <x:c r="B44" s="31" t="str">
        <x:v>Milo and the Lost Color</x:v>
      </x:c>
      <x:c r="C44" s="31" t="str">
        <x:v>Q3</x:v>
      </x:c>
      <x:c r="D44" s="31" t="str">
        <x:v>initiating_event</x:v>
      </x:c>
      <x:c r="E44" s="31" t="str">
        <x:v>D</x:v>
      </x:c>
      <x:c r="F44" s="31" t="str">
        <x:v>Milo looks in the mirror.</x:v>
      </x:c>
      <x:c r="G44" s="31" t="str">
        <x:v>오답</x:v>
      </x:c>
      <x:c r="H44" s="31" t="n">
        <x:v>0</x:v>
      </x:c>
      <x:c r="I44" s="31" t="n">
        <x:v>0</x:v>
      </x:c>
      <x:c r="J44" s="31" t="str">
        <x:v>no_problem_evidence</x:v>
      </x:c>
      <x:c r="K44" s="31" t="str">
        <x:v>결말 장면을 사건 시작으로 혼동합니다.</x:v>
      </x:c>
      <x:c r="L44" s="31" t="str">
        <x:v>오디오를 다시 듣고 ‘처음 큰 변화’가 생기는 장면을 함께 찾습니다.</x:v>
      </x:c>
    </x:row>
    <x:row r="45">
      <x:c r="A45" s="28" t="str">
        <x:v>OG0021</x:v>
      </x:c>
      <x:c r="B45" s="28" t="str">
        <x:v>Milo and the Lost Color</x:v>
      </x:c>
      <x:c r="C45" s="28" t="str">
        <x:v>Q5</x:v>
      </x:c>
      <x:c r="D45" s="28" t="str">
        <x:v>reaction</x:v>
      </x:c>
      <x:c r="E45" s="28" t="str">
        <x:v>A</x:v>
      </x:c>
      <x:c r="F45" s="28" t="str">
        <x:v>sad</x:v>
      </x:c>
      <x:c r="G45" s="28" t="str">
        <x:v>정답</x:v>
      </x:c>
      <x:c r="H45" s="28" t="n">
        <x:v>3</x:v>
      </x:c>
      <x:c r="I45" s="28" t="n">
        <x:v>100</x:v>
      </x:c>
      <x:c r="J45" s="28" t="str">
        <x:v>none</x:v>
      </x:c>
      <x:c r="K45" s="28" t="str">
        <x:v>핵심 요소와 관계를 정확히 연결</x:v>
      </x:c>
      <x:c r="L45" s="28" t="str">
        <x:v>감정을 뒷받침하는 장면 단서를 한 가지 말합니다.</x:v>
      </x:c>
    </x:row>
    <x:row r="46">
      <x:c r="A46" s="31" t="str">
        <x:v>OG0021</x:v>
      </x:c>
      <x:c r="B46" s="31" t="str">
        <x:v>Milo and the Lost Color</x:v>
      </x:c>
      <x:c r="C46" s="31" t="str">
        <x:v>Q5</x:v>
      </x:c>
      <x:c r="D46" s="31" t="str">
        <x:v>reaction</x:v>
      </x:c>
      <x:c r="E46" s="31" t="str">
        <x:v>B</x:v>
      </x:c>
      <x:c r="F46" s="31" t="str">
        <x:v>happy</x:v>
      </x:c>
      <x:c r="G46" s="31" t="str">
        <x:v>오답</x:v>
      </x:c>
      <x:c r="H46" s="31" t="n">
        <x:v>0</x:v>
      </x:c>
      <x:c r="I46" s="31" t="n">
        <x:v>0</x:v>
      </x:c>
      <x:c r="J46" s="31" t="str">
        <x:v>no_emotion_evidence</x:v>
      </x:c>
      <x:c r="K46" s="31" t="str">
        <x:v>해결 이후 감정을 슬픈 장면에 적용합니다.</x:v>
      </x:c>
      <x:c r="L46" s="31" t="str">
        <x:v>현재 장면의 사건과 표정을 다시 보고 긍정·부정 감정부터 구분합니다.</x:v>
      </x:c>
    </x:row>
    <x:row r="47">
      <x:c r="A47" s="29" t="str">
        <x:v>OG0021</x:v>
      </x:c>
      <x:c r="B47" s="29" t="str">
        <x:v>Milo and the Lost Color</x:v>
      </x:c>
      <x:c r="C47" s="29" t="str">
        <x:v>Q5</x:v>
      </x:c>
      <x:c r="D47" s="29" t="str">
        <x:v>reaction</x:v>
      </x:c>
      <x:c r="E47" s="29" t="str">
        <x:v>C</x:v>
      </x:c>
      <x:c r="F47" s="29" t="str">
        <x:v>angry</x:v>
      </x:c>
      <x:c r="G47" s="29" t="str">
        <x:v>오답</x:v>
      </x:c>
      <x:c r="H47" s="29" t="n">
        <x:v>2</x:v>
      </x:c>
      <x:c r="I47" s="29" t="n">
        <x:v>67</x:v>
      </x:c>
      <x:c r="J47" s="29" t="str">
        <x:v>emotion_specificity_confusion</x:v>
      </x:c>
      <x:c r="K47" s="29" t="str">
        <x:v>부정 감정은 파악했지만 슬픔과 분노를 혼동합니다.</x:v>
      </x:c>
      <x:c r="L47" s="29" t="str">
        <x:v>감정의 방향은 맞았으므로 표정·사건 단서로 정확한 감정어를 구분합니다.</x:v>
      </x:c>
    </x:row>
    <x:row r="48">
      <x:c r="A48" s="30" t="str">
        <x:v>OG0021</x:v>
      </x:c>
      <x:c r="B48" s="30" t="str">
        <x:v>Milo and the Lost Color</x:v>
      </x:c>
      <x:c r="C48" s="30" t="str">
        <x:v>Q5</x:v>
      </x:c>
      <x:c r="D48" s="30" t="str">
        <x:v>reaction</x:v>
      </x:c>
      <x:c r="E48" s="30" t="str">
        <x:v>D</x:v>
      </x:c>
      <x:c r="F48" s="30" t="str">
        <x:v>proud</x:v>
      </x:c>
      <x:c r="G48" s="30" t="str">
        <x:v>오답</x:v>
      </x:c>
      <x:c r="H48" s="30" t="n">
        <x:v>1</x:v>
      </x:c>
      <x:c r="I48" s="30" t="n">
        <x:v>33</x:v>
      </x:c>
      <x:c r="J48" s="30" t="str">
        <x:v>story_phase_emotion_confusion</x:v>
      </x:c>
      <x:c r="K48" s="30" t="str">
        <x:v>결말의 자신감을 현재 감정으로 혼동합니다.</x:v>
      </x:c>
      <x:c r="L48" s="30" t="str">
        <x:v>현재 장면과 다른 장면의 감정을 비교하고, 언제 감정이 바뀌었는지 찾습니다.</x:v>
      </x:c>
    </x:row>
    <x:row r="49">
      <x:c r="A49" s="28" t="str">
        <x:v>OG0021</x:v>
      </x:c>
      <x:c r="B49" s="28" t="str">
        <x:v>Milo and the Lost Color</x:v>
      </x:c>
      <x:c r="C49" s="28" t="str">
        <x:v>Q6</x:v>
      </x:c>
      <x:c r="D49" s="28" t="str">
        <x:v>internal_response</x:v>
      </x:c>
      <x:c r="E49" s="28" t="str">
        <x:v>A</x:v>
      </x:c>
      <x:c r="F49" s="28" t="str">
        <x:v>Maybe my color is inside me!</x:v>
      </x:c>
      <x:c r="G49" s="28" t="str">
        <x:v>정답</x:v>
      </x:c>
      <x:c r="H49" s="28" t="n">
        <x:v>3</x:v>
      </x:c>
      <x:c r="I49" s="28" t="n">
        <x:v>100</x:v>
      </x:c>
      <x:c r="J49" s="28" t="str">
        <x:v>none</x:v>
      </x:c>
      <x:c r="K49" s="28" t="str">
        <x:v>핵심 요소와 관계를 정확히 연결</x:v>
      </x:c>
      <x:c r="L49" s="28" t="str">
        <x:v>생각이나 깨달음을 뒷받침하는 행동·말을 한 가지 설명합니다.</x:v>
      </x:c>
    </x:row>
    <x:row r="50">
      <x:c r="A50" s="30" t="str">
        <x:v>OG0021</x:v>
      </x:c>
      <x:c r="B50" s="30" t="str">
        <x:v>Milo and the Lost Color</x:v>
      </x:c>
      <x:c r="C50" s="30" t="str">
        <x:v>Q6</x:v>
      </x:c>
      <x:c r="D50" s="30" t="str">
        <x:v>internal_response</x:v>
      </x:c>
      <x:c r="E50" s="30" t="str">
        <x:v>B</x:v>
      </x:c>
      <x:c r="F50" s="30" t="str">
        <x:v>I need the butterfly's color.</x:v>
      </x:c>
      <x:c r="G50" s="30" t="str">
        <x:v>오답</x:v>
      </x:c>
      <x:c r="H50" s="30" t="n">
        <x:v>1</x:v>
      </x:c>
      <x:c r="I50" s="30" t="n">
        <x:v>33</x:v>
      </x:c>
      <x:c r="J50" s="30" t="str">
        <x:v>related_inference_misconnection</x:v>
      </x:c>
      <x:c r="K50" s="30" t="str">
        <x:v>외부에서 색을 얻으려는 초반 생각에 머무릅니다.</x:v>
      </x:c>
      <x:c r="L50" s="30" t="str">
        <x:v>인물의 말·행동과 속마음을 ‘그래서’로 연결해 다시 추론합니다.</x:v>
      </x:c>
    </x:row>
    <x:row r="51">
      <x:c r="A51" s="30" t="str">
        <x:v>OG0021</x:v>
      </x:c>
      <x:c r="B51" s="30" t="str">
        <x:v>Milo and the Lost Color</x:v>
      </x:c>
      <x:c r="C51" s="30" t="str">
        <x:v>Q6</x:v>
      </x:c>
      <x:c r="D51" s="30" t="str">
        <x:v>internal_response</x:v>
      </x:c>
      <x:c r="E51" s="30" t="str">
        <x:v>C</x:v>
      </x:c>
      <x:c r="F51" s="30" t="str">
        <x:v>I should stop looking.</x:v>
      </x:c>
      <x:c r="G51" s="30" t="str">
        <x:v>오답</x:v>
      </x:c>
      <x:c r="H51" s="30" t="n">
        <x:v>1</x:v>
      </x:c>
      <x:c r="I51" s="30" t="n">
        <x:v>33</x:v>
      </x:c>
      <x:c r="J51" s="30" t="str">
        <x:v>related_inference_misconnection</x:v>
      </x:c>
      <x:c r="K51" s="30" t="str">
        <x:v>슬픈 반응과 깨달음을 혼동합니다.</x:v>
      </x:c>
      <x:c r="L51" s="30" t="str">
        <x:v>인물의 말·행동과 속마음을 ‘그래서’로 연결해 다시 추론합니다.</x:v>
      </x:c>
    </x:row>
    <x:row r="52">
      <x:c r="A52" s="31" t="str">
        <x:v>OG0021</x:v>
      </x:c>
      <x:c r="B52" s="31" t="str">
        <x:v>Milo and the Lost Color</x:v>
      </x:c>
      <x:c r="C52" s="31" t="str">
        <x:v>Q6</x:v>
      </x:c>
      <x:c r="D52" s="31" t="str">
        <x:v>internal_response</x:v>
      </x:c>
      <x:c r="E52" s="31" t="str">
        <x:v>D</x:v>
      </x:c>
      <x:c r="F52" s="31" t="str">
        <x:v>The pond is my home.</x:v>
      </x:c>
      <x:c r="G52" s="31" t="str">
        <x:v>오답</x:v>
      </x:c>
      <x:c r="H52" s="31" t="n">
        <x:v>0</x:v>
      </x:c>
      <x:c r="I52" s="31" t="n">
        <x:v>0</x:v>
      </x:c>
      <x:c r="J52" s="31" t="str">
        <x:v>opposite_or_no_inference</x:v>
      </x:c>
      <x:c r="K52" s="31" t="str">
        <x:v>장면의 배경 단서를 내적 깨달음으로 오해합니다.</x:v>
      </x:c>
      <x:c r="L52" s="31" t="str">
        <x:v>결말 장면을 다시 읽고 인물이 이전과 달라진 점부터 찾습니다.</x:v>
      </x:c>
    </x:row>
    <x:row r="53">
      <x:c r="A53" s="28" t="str">
        <x:v>OG0036</x:v>
      </x:c>
      <x:c r="B53" s="28" t="str">
        <x:v>The Secret of Judy's Silver Racket</x:v>
      </x:c>
      <x:c r="C53" s="28" t="str">
        <x:v>Q3</x:v>
      </x:c>
      <x:c r="D53" s="28" t="str">
        <x:v>initiating_event</x:v>
      </x:c>
      <x:c r="E53" s="28" t="str">
        <x:v>A</x:v>
      </x:c>
      <x:c r="F53" s="28" t="str">
        <x:v>Judy loses because of fear.</x:v>
      </x:c>
      <x:c r="G53" s="28" t="str">
        <x:v>정답</x:v>
      </x:c>
      <x:c r="H53" s="28" t="n">
        <x:v>3</x:v>
      </x:c>
      <x:c r="I53" s="28" t="n">
        <x:v>100</x:v>
      </x:c>
      <x:c r="J53" s="28" t="str">
        <x:v>none</x:v>
      </x:c>
      <x:c r="K53" s="28" t="str">
        <x:v>핵심 요소와 관계를 정확히 연결</x:v>
      </x:c>
      <x:c r="L53" s="28" t="str">
        <x:v>문제가 시작된 까닭과 다음 사건을 연결해 말합니다.</x:v>
      </x:c>
    </x:row>
    <x:row r="54">
      <x:c r="A54" s="30" t="str">
        <x:v>OG0036</x:v>
      </x:c>
      <x:c r="B54" s="30" t="str">
        <x:v>The Secret of Judy's Silver Racket</x:v>
      </x:c>
      <x:c r="C54" s="30" t="str">
        <x:v>Q3</x:v>
      </x:c>
      <x:c r="D54" s="30" t="str">
        <x:v>initiating_event</x:v>
      </x:c>
      <x:c r="E54" s="30" t="str">
        <x:v>B</x:v>
      </x:c>
      <x:c r="F54" s="30" t="str">
        <x:v>Judy gets a silver racket.</x:v>
      </x:c>
      <x:c r="G54" s="30" t="str">
        <x:v>오답</x:v>
      </x:c>
      <x:c r="H54" s="30" t="n">
        <x:v>1</x:v>
      </x:c>
      <x:c r="I54" s="30" t="n">
        <x:v>33</x:v>
      </x:c>
      <x:c r="J54" s="30" t="str">
        <x:v>story_phase_confusion</x:v>
      </x:c>
      <x:c r="K54" s="30" t="str">
        <x:v>문제 해결 도구의 등장을 문제의 시작으로 혼동합니다.</x:v>
      </x:c>
      <x:c r="L54" s="30" t="str">
        <x:v>배경·문제 시작·결과·해결 장면을 네 칸으로 나누어 비교합니다.</x:v>
      </x:c>
    </x:row>
    <x:row r="55">
      <x:c r="A55" s="30" t="str">
        <x:v>OG0036</x:v>
      </x:c>
      <x:c r="B55" s="30" t="str">
        <x:v>The Secret of Judy's Silver Racket</x:v>
      </x:c>
      <x:c r="C55" s="30" t="str">
        <x:v>Q3</x:v>
      </x:c>
      <x:c r="D55" s="30" t="str">
        <x:v>initiating_event</x:v>
      </x:c>
      <x:c r="E55" s="30" t="str">
        <x:v>C</x:v>
      </x:c>
      <x:c r="F55" s="30" t="str">
        <x:v>The racket breaks.</x:v>
      </x:c>
      <x:c r="G55" s="30" t="str">
        <x:v>오답</x:v>
      </x:c>
      <x:c r="H55" s="30" t="n">
        <x:v>1</x:v>
      </x:c>
      <x:c r="I55" s="30" t="n">
        <x:v>33</x:v>
      </x:c>
      <x:c r="J55" s="30" t="str">
        <x:v>story_phase_confusion</x:v>
      </x:c>
      <x:c r="K55" s="30" t="str">
        <x:v>중간 위기를 처음 문제로 혼동합니다.</x:v>
      </x:c>
      <x:c r="L55" s="30" t="str">
        <x:v>배경·문제 시작·결과·해결 장면을 네 칸으로 나누어 비교합니다.</x:v>
      </x:c>
    </x:row>
    <x:row r="56">
      <x:c r="A56" s="31" t="str">
        <x:v>OG0036</x:v>
      </x:c>
      <x:c r="B56" s="31" t="str">
        <x:v>The Secret of Judy's Silver Racket</x:v>
      </x:c>
      <x:c r="C56" s="31" t="str">
        <x:v>Q3</x:v>
      </x:c>
      <x:c r="D56" s="31" t="str">
        <x:v>initiating_event</x:v>
      </x:c>
      <x:c r="E56" s="31" t="str">
        <x:v>D</x:v>
      </x:c>
      <x:c r="F56" s="31" t="str">
        <x:v>Judy finds confidence.</x:v>
      </x:c>
      <x:c r="G56" s="31" t="str">
        <x:v>오답</x:v>
      </x:c>
      <x:c r="H56" s="31" t="n">
        <x:v>0</x:v>
      </x:c>
      <x:c r="I56" s="31" t="n">
        <x:v>0</x:v>
      </x:c>
      <x:c r="J56" s="31" t="str">
        <x:v>no_problem_evidence</x:v>
      </x:c>
      <x:c r="K56" s="31" t="str">
        <x:v>결말 장면을 사건 시작으로 혼동합니다.</x:v>
      </x:c>
      <x:c r="L56" s="31" t="str">
        <x:v>오디오를 다시 듣고 ‘처음 큰 변화’가 생기는 장면을 함께 찾습니다.</x:v>
      </x:c>
    </x:row>
    <x:row r="57">
      <x:c r="A57" s="28" t="str">
        <x:v>OG0036</x:v>
      </x:c>
      <x:c r="B57" s="28" t="str">
        <x:v>The Secret of Judy's Silver Racket</x:v>
      </x:c>
      <x:c r="C57" s="28" t="str">
        <x:v>Q5</x:v>
      </x:c>
      <x:c r="D57" s="28" t="str">
        <x:v>reaction</x:v>
      </x:c>
      <x:c r="E57" s="28" t="str">
        <x:v>A</x:v>
      </x:c>
      <x:c r="F57" s="28" t="str">
        <x:v>scared</x:v>
      </x:c>
      <x:c r="G57" s="28" t="str">
        <x:v>정답</x:v>
      </x:c>
      <x:c r="H57" s="28" t="n">
        <x:v>3</x:v>
      </x:c>
      <x:c r="I57" s="28" t="n">
        <x:v>100</x:v>
      </x:c>
      <x:c r="J57" s="28" t="str">
        <x:v>none</x:v>
      </x:c>
      <x:c r="K57" s="28" t="str">
        <x:v>핵심 요소와 관계를 정확히 연결</x:v>
      </x:c>
      <x:c r="L57" s="28" t="str">
        <x:v>감정을 뒷받침하는 장면 단서를 한 가지 말합니다.</x:v>
      </x:c>
    </x:row>
    <x:row r="58">
      <x:c r="A58" s="31" t="str">
        <x:v>OG0036</x:v>
      </x:c>
      <x:c r="B58" s="31" t="str">
        <x:v>The Secret of Judy's Silver Racket</x:v>
      </x:c>
      <x:c r="C58" s="31" t="str">
        <x:v>Q5</x:v>
      </x:c>
      <x:c r="D58" s="31" t="str">
        <x:v>reaction</x:v>
      </x:c>
      <x:c r="E58" s="31" t="str">
        <x:v>B</x:v>
      </x:c>
      <x:c r="F58" s="31" t="str">
        <x:v>happy</x:v>
      </x:c>
      <x:c r="G58" s="31" t="str">
        <x:v>오답</x:v>
      </x:c>
      <x:c r="H58" s="31" t="n">
        <x:v>0</x:v>
      </x:c>
      <x:c r="I58" s="31" t="n">
        <x:v>0</x:v>
      </x:c>
      <x:c r="J58" s="31" t="str">
        <x:v>no_emotion_evidence</x:v>
      </x:c>
      <x:c r="K58" s="31" t="str">
        <x:v>초반 승리 감정을 위기 장면에 적용합니다.</x:v>
      </x:c>
      <x:c r="L58" s="31" t="str">
        <x:v>현재 장면의 사건과 표정을 다시 보고 긍정·부정 감정부터 구분합니다.</x:v>
      </x:c>
    </x:row>
    <x:row r="59">
      <x:c r="A59" s="29" t="str">
        <x:v>OG0036</x:v>
      </x:c>
      <x:c r="B59" s="29" t="str">
        <x:v>The Secret of Judy's Silver Racket</x:v>
      </x:c>
      <x:c r="C59" s="29" t="str">
        <x:v>Q5</x:v>
      </x:c>
      <x:c r="D59" s="29" t="str">
        <x:v>reaction</x:v>
      </x:c>
      <x:c r="E59" s="29" t="str">
        <x:v>C</x:v>
      </x:c>
      <x:c r="F59" s="29" t="str">
        <x:v>angry</x:v>
      </x:c>
      <x:c r="G59" s="29" t="str">
        <x:v>오답</x:v>
      </x:c>
      <x:c r="H59" s="29" t="n">
        <x:v>2</x:v>
      </x:c>
      <x:c r="I59" s="29" t="n">
        <x:v>67</x:v>
      </x:c>
      <x:c r="J59" s="29" t="str">
        <x:v>emotion_specificity_confusion</x:v>
      </x:c>
      <x:c r="K59" s="29" t="str">
        <x:v>부정 감정은 파악했지만 두려움과 분노를 혼동합니다.</x:v>
      </x:c>
      <x:c r="L59" s="29" t="str">
        <x:v>감정의 방향은 맞았으므로 표정·사건 단서로 정확한 감정어를 구분합니다.</x:v>
      </x:c>
    </x:row>
    <x:row r="60">
      <x:c r="A60" s="30" t="str">
        <x:v>OG0036</x:v>
      </x:c>
      <x:c r="B60" s="30" t="str">
        <x:v>The Secret of Judy's Silver Racket</x:v>
      </x:c>
      <x:c r="C60" s="30" t="str">
        <x:v>Q5</x:v>
      </x:c>
      <x:c r="D60" s="30" t="str">
        <x:v>reaction</x:v>
      </x:c>
      <x:c r="E60" s="30" t="str">
        <x:v>D</x:v>
      </x:c>
      <x:c r="F60" s="30" t="str">
        <x:v>proud</x:v>
      </x:c>
      <x:c r="G60" s="30" t="str">
        <x:v>오답</x:v>
      </x:c>
      <x:c r="H60" s="30" t="n">
        <x:v>1</x:v>
      </x:c>
      <x:c r="I60" s="30" t="n">
        <x:v>33</x:v>
      </x:c>
      <x:c r="J60" s="30" t="str">
        <x:v>story_phase_emotion_confusion</x:v>
      </x:c>
      <x:c r="K60" s="30" t="str">
        <x:v>결말의 자신감을 위기 장면에 투영합니다.</x:v>
      </x:c>
      <x:c r="L60" s="30" t="str">
        <x:v>현재 장면과 다른 장면의 감정을 비교하고, 언제 감정이 바뀌었는지 찾습니다.</x:v>
      </x:c>
    </x:row>
    <x:row r="61">
      <x:c r="A61" s="28" t="str">
        <x:v>OG0036</x:v>
      </x:c>
      <x:c r="B61" s="28" t="str">
        <x:v>The Secret of Judy's Silver Racket</x:v>
      </x:c>
      <x:c r="C61" s="28" t="str">
        <x:v>Q6</x:v>
      </x:c>
      <x:c r="D61" s="28" t="str">
        <x:v>internal_response</x:v>
      </x:c>
      <x:c r="E61" s="28" t="str">
        <x:v>A</x:v>
      </x:c>
      <x:c r="F61" s="28" t="str">
        <x:v>The whispers came from Judy herself.</x:v>
      </x:c>
      <x:c r="G61" s="28" t="str">
        <x:v>정답</x:v>
      </x:c>
      <x:c r="H61" s="28" t="n">
        <x:v>3</x:v>
      </x:c>
      <x:c r="I61" s="28" t="n">
        <x:v>100</x:v>
      </x:c>
      <x:c r="J61" s="28" t="str">
        <x:v>none</x:v>
      </x:c>
      <x:c r="K61" s="28" t="str">
        <x:v>핵심 요소와 관계를 정확히 연결</x:v>
      </x:c>
      <x:c r="L61" s="28" t="str">
        <x:v>생각이나 깨달음을 뒷받침하는 행동·말을 한 가지 설명합니다.</x:v>
      </x:c>
    </x:row>
    <x:row r="62">
      <x:c r="A62" s="30" t="str">
        <x:v>OG0036</x:v>
      </x:c>
      <x:c r="B62" s="30" t="str">
        <x:v>The Secret of Judy's Silver Racket</x:v>
      </x:c>
      <x:c r="C62" s="30" t="str">
        <x:v>Q6</x:v>
      </x:c>
      <x:c r="D62" s="30" t="str">
        <x:v>internal_response</x:v>
      </x:c>
      <x:c r="E62" s="30" t="str">
        <x:v>B</x:v>
      </x:c>
      <x:c r="F62" s="30" t="str">
        <x:v>The silver racket is magic.</x:v>
      </x:c>
      <x:c r="G62" s="30" t="str">
        <x:v>오답</x:v>
      </x:c>
      <x:c r="H62" s="30" t="n">
        <x:v>1</x:v>
      </x:c>
      <x:c r="I62" s="30" t="n">
        <x:v>33</x:v>
      </x:c>
      <x:c r="J62" s="30" t="str">
        <x:v>related_inference_misconnection</x:v>
      </x:c>
      <x:c r="K62" s="30" t="str">
        <x:v>겉으로 보이는 도구를 내적 능력보다 우선합니다.</x:v>
      </x:c>
      <x:c r="L62" s="30" t="str">
        <x:v>인물의 말·행동과 속마음을 ‘그래서’로 연결해 다시 추론합니다.</x:v>
      </x:c>
    </x:row>
    <x:row r="63">
      <x:c r="A63" s="30" t="str">
        <x:v>OG0036</x:v>
      </x:c>
      <x:c r="B63" s="30" t="str">
        <x:v>The Secret of Judy's Silver Racket</x:v>
      </x:c>
      <x:c r="C63" s="30" t="str">
        <x:v>Q6</x:v>
      </x:c>
      <x:c r="D63" s="30" t="str">
        <x:v>internal_response</x:v>
      </x:c>
      <x:c r="E63" s="30" t="str">
        <x:v>C</x:v>
      </x:c>
      <x:c r="F63" s="30" t="str">
        <x:v>Bella is too strong.</x:v>
      </x:c>
      <x:c r="G63" s="30" t="str">
        <x:v>오답</x:v>
      </x:c>
      <x:c r="H63" s="30" t="n">
        <x:v>1</x:v>
      </x:c>
      <x:c r="I63" s="30" t="n">
        <x:v>33</x:v>
      </x:c>
      <x:c r="J63" s="30" t="str">
        <x:v>related_inference_misconnection</x:v>
      </x:c>
      <x:c r="K63" s="30" t="str">
        <x:v>상대 선수에 대한 부담과 깨달음을 혼동합니다.</x:v>
      </x:c>
      <x:c r="L63" s="30" t="str">
        <x:v>인물의 말·행동과 속마음을 ‘그래서’로 연결해 다시 추론합니다.</x:v>
      </x:c>
    </x:row>
    <x:row r="64">
      <x:c r="A64" s="31" t="str">
        <x:v>OG0036</x:v>
      </x:c>
      <x:c r="B64" s="31" t="str">
        <x:v>The Secret of Judy's Silver Racket</x:v>
      </x:c>
      <x:c r="C64" s="31" t="str">
        <x:v>Q6</x:v>
      </x:c>
      <x:c r="D64" s="31" t="str">
        <x:v>internal_response</x:v>
      </x:c>
      <x:c r="E64" s="31" t="str">
        <x:v>D</x:v>
      </x:c>
      <x:c r="F64" s="31" t="str">
        <x:v>She should stop playing.</x:v>
      </x:c>
      <x:c r="G64" s="31" t="str">
        <x:v>오답</x:v>
      </x:c>
      <x:c r="H64" s="31" t="n">
        <x:v>0</x:v>
      </x:c>
      <x:c r="I64" s="31" t="n">
        <x:v>0</x:v>
      </x:c>
      <x:c r="J64" s="31" t="str">
        <x:v>opposite_or_no_inference</x:v>
      </x:c>
      <x:c r="K64" s="31" t="str">
        <x:v>포기 반응을 내적 성장으로 오해합니다.</x:v>
      </x:c>
      <x:c r="L64" s="31" t="str">
        <x:v>결말 장면을 다시 읽고 인물이 이전과 달라진 점부터 찾습니다.</x:v>
      </x:c>
    </x:row>
    <x:row r="65">
      <x:c r="A65" s="30" t="str">
        <x:v>OG0049</x:v>
      </x:c>
      <x:c r="B65" s="30" t="str">
        <x:v>The Mystery of the Deep: The Lost Light</x:v>
      </x:c>
      <x:c r="C65" s="30" t="str">
        <x:v>Q3</x:v>
      </x:c>
      <x:c r="D65" s="30" t="str">
        <x:v>initiating_event</x:v>
      </x:c>
      <x:c r="E65" s="30" t="str">
        <x:v>A</x:v>
      </x:c>
      <x:c r="F65" s="30" t="str">
        <x:v>Kira sees a tiny golden light.</x:v>
      </x:c>
      <x:c r="G65" s="30" t="str">
        <x:v>오답</x:v>
      </x:c>
      <x:c r="H65" s="30" t="n">
        <x:v>1</x:v>
      </x:c>
      <x:c r="I65" s="30" t="n">
        <x:v>33</x:v>
      </x:c>
      <x:c r="J65" s="30" t="str">
        <x:v>story_phase_confusion</x:v>
      </x:c>
      <x:c r="K65" s="30" t="str">
        <x:v>문제의 단서와 문제 자체를 혼동합니다.</x:v>
      </x:c>
      <x:c r="L65" s="30" t="str">
        <x:v>배경·문제 시작·결과·해결 장면을 네 칸으로 나누어 비교합니다.</x:v>
      </x:c>
    </x:row>
    <x:row r="66">
      <x:c r="A66" s="28" t="str">
        <x:v>OG0049</x:v>
      </x:c>
      <x:c r="B66" s="28" t="str">
        <x:v>The Mystery of the Deep: The Lost Light</x:v>
      </x:c>
      <x:c r="C66" s="28" t="str">
        <x:v>Q3</x:v>
      </x:c>
      <x:c r="D66" s="28" t="str">
        <x:v>initiating_event</x:v>
      </x:c>
      <x:c r="E66" s="28" t="str">
        <x:v>B</x:v>
      </x:c>
      <x:c r="F66" s="28" t="str">
        <x:v>A plastic bag covers the fish.</x:v>
      </x:c>
      <x:c r="G66" s="28" t="str">
        <x:v>정답</x:v>
      </x:c>
      <x:c r="H66" s="28" t="n">
        <x:v>3</x:v>
      </x:c>
      <x:c r="I66" s="28" t="n">
        <x:v>100</x:v>
      </x:c>
      <x:c r="J66" s="28" t="str">
        <x:v>none</x:v>
      </x:c>
      <x:c r="K66" s="28" t="str">
        <x:v>핵심 요소와 관계를 정확히 연결</x:v>
      </x:c>
      <x:c r="L66" s="28" t="str">
        <x:v>문제가 시작된 까닭과 다음 사건을 연결해 말합니다.</x:v>
      </x:c>
    </x:row>
    <x:row r="67">
      <x:c r="A67" s="30" t="str">
        <x:v>OG0049</x:v>
      </x:c>
      <x:c r="B67" s="30" t="str">
        <x:v>The Mystery of the Deep: The Lost Light</x:v>
      </x:c>
      <x:c r="C67" s="30" t="str">
        <x:v>Q3</x:v>
      </x:c>
      <x:c r="D67" s="30" t="str">
        <x:v>initiating_event</x:v>
      </x:c>
      <x:c r="E67" s="30" t="str">
        <x:v>C</x:v>
      </x:c>
      <x:c r="F67" s="30" t="str">
        <x:v>Kira and Toby decide to help.</x:v>
      </x:c>
      <x:c r="G67" s="30" t="str">
        <x:v>오답</x:v>
      </x:c>
      <x:c r="H67" s="30" t="n">
        <x:v>1</x:v>
      </x:c>
      <x:c r="I67" s="30" t="n">
        <x:v>33</x:v>
      </x:c>
      <x:c r="J67" s="30" t="str">
        <x:v>story_phase_confusion</x:v>
      </x:c>
      <x:c r="K67" s="30" t="str">
        <x:v>문제 이후의 대응 장면을 사건 시작으로 혼동합니다.</x:v>
      </x:c>
      <x:c r="L67" s="30" t="str">
        <x:v>배경·문제 시작·결과·해결 장면을 네 칸으로 나누어 비교합니다.</x:v>
      </x:c>
    </x:row>
    <x:row r="68">
      <x:c r="A68" s="31" t="str">
        <x:v>OG0049</x:v>
      </x:c>
      <x:c r="B68" s="31" t="str">
        <x:v>The Mystery of the Deep: The Lost Light</x:v>
      </x:c>
      <x:c r="C68" s="31" t="str">
        <x:v>Q3</x:v>
      </x:c>
      <x:c r="D68" s="31" t="str">
        <x:v>initiating_event</x:v>
      </x:c>
      <x:c r="E68" s="31" t="str">
        <x:v>D</x:v>
      </x:c>
      <x:c r="F68" s="31" t="str">
        <x:v>The fish's lamp shines again.</x:v>
      </x:c>
      <x:c r="G68" s="31" t="str">
        <x:v>오답</x:v>
      </x:c>
      <x:c r="H68" s="31" t="n">
        <x:v>0</x:v>
      </x:c>
      <x:c r="I68" s="31" t="n">
        <x:v>0</x:v>
      </x:c>
      <x:c r="J68" s="31" t="str">
        <x:v>no_problem_evidence</x:v>
      </x:c>
      <x:c r="K68" s="31" t="str">
        <x:v>해결 장면을 사건 시작으로 혼동합니다.</x:v>
      </x:c>
      <x:c r="L68" s="31" t="str">
        <x:v>오디오를 다시 듣고 ‘처음 큰 변화’가 생기는 장면을 함께 찾습니다.</x:v>
      </x:c>
    </x:row>
    <x:row r="69">
      <x:c r="A69" s="28" t="str">
        <x:v>OG0049</x:v>
      </x:c>
      <x:c r="B69" s="28" t="str">
        <x:v>The Mystery of the Deep: The Lost Light</x:v>
      </x:c>
      <x:c r="C69" s="28" t="str">
        <x:v>Q5</x:v>
      </x:c>
      <x:c r="D69" s="28" t="str">
        <x:v>reaction</x:v>
      </x:c>
      <x:c r="E69" s="28" t="str">
        <x:v>A</x:v>
      </x:c>
      <x:c r="F69" s="28" t="str">
        <x:v>afraid</x:v>
      </x:c>
      <x:c r="G69" s="28" t="str">
        <x:v>정답</x:v>
      </x:c>
      <x:c r="H69" s="28" t="n">
        <x:v>3</x:v>
      </x:c>
      <x:c r="I69" s="28" t="n">
        <x:v>100</x:v>
      </x:c>
      <x:c r="J69" s="28" t="str">
        <x:v>none</x:v>
      </x:c>
      <x:c r="K69" s="28" t="str">
        <x:v>핵심 요소와 관계를 정확히 연결</x:v>
      </x:c>
      <x:c r="L69" s="28" t="str">
        <x:v>감정을 뒷받침하는 장면 단서를 한 가지 말합니다.</x:v>
      </x:c>
    </x:row>
    <x:row r="70">
      <x:c r="A70" s="31" t="str">
        <x:v>OG0049</x:v>
      </x:c>
      <x:c r="B70" s="31" t="str">
        <x:v>The Mystery of the Deep: The Lost Light</x:v>
      </x:c>
      <x:c r="C70" s="31" t="str">
        <x:v>Q5</x:v>
      </x:c>
      <x:c r="D70" s="31" t="str">
        <x:v>reaction</x:v>
      </x:c>
      <x:c r="E70" s="31" t="str">
        <x:v>B</x:v>
      </x:c>
      <x:c r="F70" s="31" t="str">
        <x:v>happy</x:v>
      </x:c>
      <x:c r="G70" s="31" t="str">
        <x:v>오답</x:v>
      </x:c>
      <x:c r="H70" s="31" t="n">
        <x:v>0</x:v>
      </x:c>
      <x:c r="I70" s="31" t="n">
        <x:v>0</x:v>
      </x:c>
      <x:c r="J70" s="31" t="str">
        <x:v>no_emotion_evidence</x:v>
      </x:c>
      <x:c r="K70" s="31" t="str">
        <x:v>해결 이후 감정을 위기 장면에 적용합니다.</x:v>
      </x:c>
      <x:c r="L70" s="31" t="str">
        <x:v>현재 장면의 사건과 표정을 다시 보고 긍정·부정 감정부터 구분합니다.</x:v>
      </x:c>
    </x:row>
    <x:row r="71">
      <x:c r="A71" s="29" t="str">
        <x:v>OG0049</x:v>
      </x:c>
      <x:c r="B71" s="29" t="str">
        <x:v>The Mystery of the Deep: The Lost Light</x:v>
      </x:c>
      <x:c r="C71" s="29" t="str">
        <x:v>Q5</x:v>
      </x:c>
      <x:c r="D71" s="29" t="str">
        <x:v>reaction</x:v>
      </x:c>
      <x:c r="E71" s="29" t="str">
        <x:v>C</x:v>
      </x:c>
      <x:c r="F71" s="29" t="str">
        <x:v>angry</x:v>
      </x:c>
      <x:c r="G71" s="29" t="str">
        <x:v>오답</x:v>
      </x:c>
      <x:c r="H71" s="29" t="n">
        <x:v>2</x:v>
      </x:c>
      <x:c r="I71" s="29" t="n">
        <x:v>67</x:v>
      </x:c>
      <x:c r="J71" s="29" t="str">
        <x:v>emotion_specificity_confusion</x:v>
      </x:c>
      <x:c r="K71" s="29" t="str">
        <x:v>위기감은 파악했지만 두려움과 분노를 혼동합니다.</x:v>
      </x:c>
      <x:c r="L71" s="29" t="str">
        <x:v>감정의 방향은 맞았으므로 표정·사건 단서로 정확한 감정어를 구분합니다.</x:v>
      </x:c>
    </x:row>
    <x:row r="72">
      <x:c r="A72" s="30" t="str">
        <x:v>OG0049</x:v>
      </x:c>
      <x:c r="B72" s="30" t="str">
        <x:v>The Mystery of the Deep: The Lost Light</x:v>
      </x:c>
      <x:c r="C72" s="30" t="str">
        <x:v>Q5</x:v>
      </x:c>
      <x:c r="D72" s="30" t="str">
        <x:v>reaction</x:v>
      </x:c>
      <x:c r="E72" s="30" t="str">
        <x:v>D</x:v>
      </x:c>
      <x:c r="F72" s="30" t="str">
        <x:v>proud</x:v>
      </x:c>
      <x:c r="G72" s="30" t="str">
        <x:v>오답</x:v>
      </x:c>
      <x:c r="H72" s="30" t="n">
        <x:v>1</x:v>
      </x:c>
      <x:c r="I72" s="30" t="n">
        <x:v>33</x:v>
      </x:c>
      <x:c r="J72" s="30" t="str">
        <x:v>story_phase_emotion_confusion</x:v>
      </x:c>
      <x:c r="K72" s="30" t="str">
        <x:v>구조 이후의 감정을 현재 장면에 투영합니다.</x:v>
      </x:c>
      <x:c r="L72" s="30" t="str">
        <x:v>현재 장면과 다른 장면의 감정을 비교하고, 언제 감정이 바뀌었는지 찾습니다.</x:v>
      </x:c>
    </x:row>
    <x:row r="73">
      <x:c r="A73" s="28" t="str">
        <x:v>OG0049</x:v>
      </x:c>
      <x:c r="B73" s="28" t="str">
        <x:v>The Mystery of the Deep: The Lost Light</x:v>
      </x:c>
      <x:c r="C73" s="28" t="str">
        <x:v>Q6</x:v>
      </x:c>
      <x:c r="D73" s="28" t="str">
        <x:v>internal_response</x:v>
      </x:c>
      <x:c r="E73" s="28" t="str">
        <x:v>A</x:v>
      </x:c>
      <x:c r="F73" s="28" t="str">
        <x:v>We should keep the ocean clean.</x:v>
      </x:c>
      <x:c r="G73" s="28" t="str">
        <x:v>정답</x:v>
      </x:c>
      <x:c r="H73" s="28" t="n">
        <x:v>3</x:v>
      </x:c>
      <x:c r="I73" s="28" t="n">
        <x:v>100</x:v>
      </x:c>
      <x:c r="J73" s="28" t="str">
        <x:v>none</x:v>
      </x:c>
      <x:c r="K73" s="28" t="str">
        <x:v>핵심 요소와 관계를 정확히 연결</x:v>
      </x:c>
      <x:c r="L73" s="28" t="str">
        <x:v>생각이나 깨달음을 뒷받침하는 행동·말을 한 가지 설명합니다.</x:v>
      </x:c>
    </x:row>
    <x:row r="74">
      <x:c r="A74" s="31" t="str">
        <x:v>OG0049</x:v>
      </x:c>
      <x:c r="B74" s="31" t="str">
        <x:v>The Mystery of the Deep: The Lost Light</x:v>
      </x:c>
      <x:c r="C74" s="31" t="str">
        <x:v>Q6</x:v>
      </x:c>
      <x:c r="D74" s="31" t="str">
        <x:v>internal_response</x:v>
      </x:c>
      <x:c r="E74" s="31" t="str">
        <x:v>B</x:v>
      </x:c>
      <x:c r="F74" s="31" t="str">
        <x:v>Plastic bags are not dangerous.</x:v>
      </x:c>
      <x:c r="G74" s="31" t="str">
        <x:v>오답</x:v>
      </x:c>
      <x:c r="H74" s="31" t="n">
        <x:v>0</x:v>
      </x:c>
      <x:c r="I74" s="31" t="n">
        <x:v>0</x:v>
      </x:c>
      <x:c r="J74" s="31" t="str">
        <x:v>opposite_or_no_inference</x:v>
      </x:c>
      <x:c r="K74" s="31" t="str">
        <x:v>이야기의 핵심 깨달음과 반대되는 생각을 선택합니다.</x:v>
      </x:c>
      <x:c r="L74" s="31" t="str">
        <x:v>결말 장면을 다시 읽고 인물이 이전과 달라진 점부터 찾습니다.</x:v>
      </x:c>
    </x:row>
    <x:row r="75">
      <x:c r="A75" s="31" t="str">
        <x:v>OG0049</x:v>
      </x:c>
      <x:c r="B75" s="31" t="str">
        <x:v>The Mystery of the Deep: The Lost Light</x:v>
      </x:c>
      <x:c r="C75" s="31" t="str">
        <x:v>Q6</x:v>
      </x:c>
      <x:c r="D75" s="31" t="str">
        <x:v>internal_response</x:v>
      </x:c>
      <x:c r="E75" s="31" t="str">
        <x:v>C</x:v>
      </x:c>
      <x:c r="F75" s="31" t="str">
        <x:v>One fish is not important.</x:v>
      </x:c>
      <x:c r="G75" s="31" t="str">
        <x:v>오답</x:v>
      </x:c>
      <x:c r="H75" s="31" t="n">
        <x:v>0</x:v>
      </x:c>
      <x:c r="I75" s="31" t="n">
        <x:v>0</x:v>
      </x:c>
      <x:c r="J75" s="31" t="str">
        <x:v>opposite_or_no_inference</x:v>
      </x:c>
      <x:c r="K75" s="31" t="str">
        <x:v>인물의 책임감과 생명 보호 의도를 약하게 이해함</x:v>
      </x:c>
      <x:c r="L75" s="31" t="str">
        <x:v>결말 장면을 다시 읽고 인물이 이전과 달라진 점부터 찾습니다.</x:v>
      </x:c>
    </x:row>
    <x:row r="76">
      <x:c r="A76" s="31" t="str">
        <x:v>OG0049</x:v>
      </x:c>
      <x:c r="B76" s="31" t="str">
        <x:v>The Mystery of the Deep: The Lost Light</x:v>
      </x:c>
      <x:c r="C76" s="31" t="str">
        <x:v>Q6</x:v>
      </x:c>
      <x:c r="D76" s="31" t="str">
        <x:v>internal_response</x:v>
      </x:c>
      <x:c r="E76" s="31" t="str">
        <x:v>D</x:v>
      </x:c>
      <x:c r="F76" s="31" t="str">
        <x:v>We should leave the trash in the sea.</x:v>
      </x:c>
      <x:c r="G76" s="31" t="str">
        <x:v>오답</x:v>
      </x:c>
      <x:c r="H76" s="31" t="n">
        <x:v>0</x:v>
      </x:c>
      <x:c r="I76" s="31" t="n">
        <x:v>0</x:v>
      </x:c>
      <x:c r="J76" s="31" t="str">
        <x:v>opposite_or_no_inference</x:v>
      </x:c>
      <x:c r="K76" s="31" t="str">
        <x:v>환경 보호 메시지와 반대되는 생각을 선택합니다.</x:v>
      </x:c>
      <x:c r="L76" s="31" t="str">
        <x:v>결말 장면을 다시 읽고 인물이 이전과 달라진 점부터 찾습니다.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5.630000114440918" hidden="0" customWidth="1"/>
    <x:col min="3" max="3" width="13.75" hidden="0" customWidth="1"/>
    <x:col min="4" max="4" width="10.630000114440918" hidden="0" customWidth="1"/>
    <x:col min="5" max="5" width="7.5" hidden="0" customWidth="1"/>
    <x:col min="6" max="6" width="12.5" hidden="0" customWidth="1"/>
    <x:col min="7" max="7" width="31.25" hidden="0" customWidth="1"/>
    <x:col min="8" max="8" width="38.75" hidden="0" customWidth="1"/>
  </x:cols>
  <x:sheetData>
    <x:row r="1" ht="34" customHeight="1">
      <x:c r="A1" s="3" t="str">
        <x:v>학생 프로파일 계산 예시</x:v>
      </x:c>
    </x:row>
    <x:row r="2" ht="34" customHeight="1">
      <x:c r="A2" s="7" t="str">
        <x:v>노란 셀에 각 문항의 보고점수(0/33/67/100)를 입력하면 전체 구간과 우선 피드백이 계산됩니다.</x:v>
      </x:c>
    </x:row>
    <x:row r="4">
      <x:c r="A4" s="20" t="str">
        <x:v>문항</x:v>
      </x:c>
      <x:c r="B4" s="20" t="str">
        <x:v>Story Grammar</x:v>
      </x:c>
      <x:c r="C4" s="20" t="str">
        <x:v>기능</x:v>
      </x:c>
      <x:c r="D4" s="20" t="str">
        <x:v>입력 점수</x:v>
      </x:c>
      <x:c r="E4" s="20" t="str">
        <x:v>Level</x:v>
      </x:c>
      <x:c r="F4" s="20" t="str">
        <x:v>상태</x:v>
      </x:c>
      <x:c r="G4" s="20" t="str">
        <x:v>오개념/메모</x:v>
      </x:c>
      <x:c r="H4" s="20" t="str">
        <x:v>추천 활동</x:v>
      </x:c>
    </x:row>
    <x:row r="5">
      <x:c r="A5" s="12" t="str">
        <x:v>Q1</x:v>
      </x:c>
      <x:c r="B5" s="12" t="str">
        <x:v>consequence</x:v>
      </x:c>
      <x:c r="C5" s="12" t="str">
        <x:v>Sequence</x:v>
      </x:c>
      <x:c r="D5" s="32" t="n">
        <x:v>100</x:v>
      </x:c>
      <x:c r="E5" s="12" t="n">
        <x:f>IF(D5=100,3,IF(D5=67,2,IF(D5=33,1,0)))</x:f>
        <x:v>3</x:v>
      </x:c>
      <x:c r="F5" s="12" t="str">
        <x:f>IF(D5=100,"Full",IF(D5=67,"Partial",IF(D5=33,"Related","No evidence")))</x:f>
        <x:v>Full</x:v>
      </x:c>
      <x:c r="G5" s="12" t="str"/>
      <x:c r="H5" s="12" t="str">
        <x:v>다음 이야기로 이동하거나 사건의 원인과 결과를 말로 설명합니다.</x:v>
      </x:c>
    </x:row>
    <x:row r="6">
      <x:c r="A6" s="12" t="str">
        <x:v>Q2</x:v>
      </x:c>
      <x:c r="B6" s="12" t="str">
        <x:v>setting</x:v>
      </x:c>
      <x:c r="C6" s="12" t="str">
        <x:v>Identify</x:v>
      </x:c>
      <x:c r="D6" s="32" t="n">
        <x:v>100</x:v>
      </x:c>
      <x:c r="E6" s="12" t="n">
        <x:f>IF(D6=100,3,IF(D6=67,2,IF(D6=33,1,0)))</x:f>
        <x:v>3</x:v>
      </x:c>
      <x:c r="F6" s="12" t="str">
        <x:f>IF(D6=100,"Full",IF(D6=67,"Partial",IF(D6=33,"Related","No evidence")))</x:f>
        <x:v>Full</x:v>
      </x:c>
      <x:c r="G6" s="12" t="str"/>
      <x:c r="H6" s="12" t="str">
        <x:v>첫 장면의 인물·장소·처음 상황을 한 문장으로 설명합니다.</x:v>
      </x:c>
    </x:row>
    <x:row r="7">
      <x:c r="A7" s="12" t="str">
        <x:v>Q3</x:v>
      </x:c>
      <x:c r="B7" s="12" t="str">
        <x:v>initiating_event</x:v>
      </x:c>
      <x:c r="C7" s="12" t="str">
        <x:v>Connect</x:v>
      </x:c>
      <x:c r="D7" s="32" t="n">
        <x:v>100</x:v>
      </x:c>
      <x:c r="E7" s="12" t="n">
        <x:f>IF(D7=100,3,IF(D7=67,2,IF(D7=33,1,0)))</x:f>
        <x:v>3</x:v>
      </x:c>
      <x:c r="F7" s="12" t="str">
        <x:f>IF(D7=100,"Full",IF(D7=67,"Partial",IF(D7=33,"Related","No evidence")))</x:f>
        <x:v>Full</x:v>
      </x:c>
      <x:c r="G7" s="12" t="str"/>
      <x:c r="H7" s="12" t="str">
        <x:v>문제가 시작된 까닭과 다음 사건을 연결해 말합니다.</x:v>
      </x:c>
    </x:row>
    <x:row r="8">
      <x:c r="A8" s="12" t="str">
        <x:v>Q4</x:v>
      </x:c>
      <x:c r="B8" s="12" t="str">
        <x:v>attempt</x:v>
      </x:c>
      <x:c r="C8" s="12" t="str">
        <x:v>Sequence</x:v>
      </x:c>
      <x:c r="D8" s="32" t="n">
        <x:v>100</x:v>
      </x:c>
      <x:c r="E8" s="12" t="n">
        <x:f>IF(D8=100,3,IF(D8=67,2,IF(D8=33,1,0)))</x:f>
        <x:v>3</x:v>
      </x:c>
      <x:c r="F8" s="12" t="str">
        <x:f>IF(D8=100,"Full",IF(D8=67,"Partial",IF(D8=33,"Related","No evidence")))</x:f>
        <x:v>Full</x:v>
      </x:c>
      <x:c r="G8" s="12" t="str"/>
      <x:c r="H8" s="12" t="str">
        <x:v>인물의 행동이 문제 해결에 어떻게 연결되는지 말합니다.</x:v>
      </x:c>
    </x:row>
    <x:row r="9">
      <x:c r="A9" s="12" t="str">
        <x:v>Q5</x:v>
      </x:c>
      <x:c r="B9" s="12" t="str">
        <x:v>reaction</x:v>
      </x:c>
      <x:c r="C9" s="12" t="str">
        <x:v>Infer</x:v>
      </x:c>
      <x:c r="D9" s="32" t="n">
        <x:v>100</x:v>
      </x:c>
      <x:c r="E9" s="12" t="n">
        <x:f>IF(D9=100,3,IF(D9=67,2,IF(D9=33,1,0)))</x:f>
        <x:v>3</x:v>
      </x:c>
      <x:c r="F9" s="12" t="str">
        <x:f>IF(D9=100,"Full",IF(D9=67,"Partial",IF(D9=33,"Related","No evidence")))</x:f>
        <x:v>Full</x:v>
      </x:c>
      <x:c r="G9" s="12" t="str"/>
      <x:c r="H9" s="12" t="str">
        <x:v>감정을 뒷받침하는 장면 단서를 한 가지 말합니다.</x:v>
      </x:c>
    </x:row>
    <x:row r="10">
      <x:c r="A10" s="12" t="str">
        <x:v>Q6</x:v>
      </x:c>
      <x:c r="B10" s="12" t="str">
        <x:v>internal_response</x:v>
      </x:c>
      <x:c r="C10" s="12" t="str">
        <x:v>Infer</x:v>
      </x:c>
      <x:c r="D10" s="32" t="n">
        <x:v>100</x:v>
      </x:c>
      <x:c r="E10" s="12" t="n">
        <x:f>IF(D10=100,3,IF(D10=67,2,IF(D10=33,1,0)))</x:f>
        <x:v>3</x:v>
      </x:c>
      <x:c r="F10" s="12" t="str">
        <x:f>IF(D10=100,"Full",IF(D10=67,"Partial",IF(D10=33,"Related","No evidence")))</x:f>
        <x:v>Full</x:v>
      </x:c>
      <x:c r="G10" s="12" t="str"/>
      <x:c r="H10" s="12" t="str">
        <x:v>생각이나 깨달음을 뒷받침하는 행동·말을 한 가지 설명합니다.</x:v>
      </x:c>
    </x:row>
    <x:row r="12">
      <x:c r="A12" s="18" t="str">
        <x:v>전체 점수</x:v>
      </x:c>
      <x:c r="B12" s="18" t="str">
        <x:v>구간</x:v>
      </x:c>
      <x:c r="C12" s="18" t="str">
        <x:v>해석 원칙</x:v>
      </x:c>
    </x:row>
    <x:row r="13">
      <x:c r="A13" s="16" t="n">
        <x:f>ROUND(AVERAGE(D5:D10),0)</x:f>
        <x:v>100</x:v>
      </x:c>
      <x:c r="B13" s="16" t="str">
        <x:f>IF(A13&gt;=80,"통합적 이해",IF(A13&gt;=60,"발달 중",IF(A13&gt;=40,"부분적 이해","기초 지원")))</x:f>
        <x:v>통합적 이해</x:v>
      </x:c>
      <x:c r="C13" s="16" t="str">
        <x:v>총점은 요약값입니다. 가장 낮은 기능과 선택 오개념을 함께 확인하세요.</x:v>
      </x:c>
    </x:row>
  </x:sheetData>
  <x:mergeCells>
    <x:mergeCell ref="A1:H1"/>
    <x:mergeCell ref="A2:H2"/>
    <x:mergeCell ref="C13:H13"/>
  </x:mergeCells>
  <x:dataValidations count="1">
    <x:dataValidation type="list" sqref="D5:D10">
      <x:formula1>"0,33,67,100"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3.75" hidden="0" customWidth="1"/>
    <x:col min="3" max="3" width="21.25" hidden="0" customWidth="1"/>
    <x:col min="4" max="4" width="9.380000114440918" hidden="0" customWidth="1"/>
    <x:col min="5" max="5" width="21.25" hidden="0" customWidth="1"/>
    <x:col min="6" max="6" width="37.5" hidden="0" customWidth="1"/>
    <x:col min="7" max="7" width="12.5" hidden="0" customWidth="1"/>
    <x:col min="8" max="8" width="22.5" hidden="0" customWidth="1"/>
  </x:cols>
  <x:sheetData>
    <x:row r="1" ht="34" customHeight="1">
      <x:c r="A1" s="3" t="str">
        <x:v>LRS 데이터·타당도 검토 계획</x:v>
      </x:c>
    </x:row>
    <x:row r="2" ht="34" customHeight="1">
      <x:c r="A2" s="7" t="str">
        <x:v>점수와 진단 정보를 분리해 저장하고, 축적 데이터로 규칙을 검토</x:v>
      </x:c>
    </x:row>
    <x:row r="4">
      <x:c r="A4" s="20" t="str">
        <x:v>Field</x:v>
      </x:c>
      <x:c r="B4" s="20" t="str">
        <x:v>예시</x:v>
      </x:c>
      <x:c r="C4" s="20" t="str">
        <x:v>용도</x:v>
      </x:c>
      <x:c r="D4" s="20" t="str">
        <x:v>필수</x:v>
      </x:c>
      <x:c r="E4" s="20" t="str">
        <x:v>개인정보 주의</x:v>
      </x:c>
      <x:c r="F4" s="20" t="str">
        <x:v>검증 질문</x:v>
      </x:c>
      <x:c r="G4" s="20" t="str">
        <x:v>검토 주기</x:v>
      </x:c>
      <x:c r="H4" s="20" t="str">
        <x:v>비고</x:v>
      </x:c>
    </x:row>
    <x:row r="5">
      <x:c r="A5" s="12" t="str">
        <x:v>story_id</x:v>
      </x:c>
      <x:c r="B5" s="12" t="str">
        <x:v>OG0005</x:v>
      </x:c>
      <x:c r="C5" s="12" t="str">
        <x:v>콘텐츠 식별</x:v>
      </x:c>
      <x:c r="D5" s="12" t="str">
        <x:v>Y</x:v>
      </x:c>
      <x:c r="E5" s="12" t="str">
        <x:v>낮음</x:v>
      </x:c>
      <x:c r="F5" s="12" t="str">
        <x:v>콘텐츠 간 난이도 차이?</x:v>
      </x:c>
      <x:c r="G5" s="12" t="str">
        <x:v>분기</x:v>
      </x:c>
      <x:c r="H5" s="12" t="str"/>
    </x:row>
    <x:row r="6">
      <x:c r="A6" s="12" t="str">
        <x:v>question_id</x:v>
      </x:c>
      <x:c r="B6" s="12" t="str">
        <x:v>OG0005_V3_Q04</x:v>
      </x:c>
      <x:c r="C6" s="12" t="str">
        <x:v>문항 식별</x:v>
      </x:c>
      <x:c r="D6" s="12" t="str">
        <x:v>Y</x:v>
      </x:c>
      <x:c r="E6" s="12" t="str">
        <x:v>낮음</x:v>
      </x:c>
      <x:c r="F6" s="12" t="str">
        <x:v>문항별 분포 안정성?</x:v>
      </x:c>
      <x:c r="G6" s="12" t="str">
        <x:v>분기</x:v>
      </x:c>
      <x:c r="H6" s="12" t="str"/>
    </x:row>
    <x:row r="7">
      <x:c r="A7" s="12" t="str">
        <x:v>story_element</x:v>
      </x:c>
      <x:c r="B7" s="12" t="str">
        <x:v>Attempt</x:v>
      </x:c>
      <x:c r="C7" s="12" t="str">
        <x:v>무엇을 평가</x:v>
      </x:c>
      <x:c r="D7" s="12" t="str">
        <x:v>Y</x:v>
      </x:c>
      <x:c r="E7" s="12" t="str">
        <x:v>낮음</x:v>
      </x:c>
      <x:c r="F7" s="12" t="str">
        <x:v>내용 대표성?</x:v>
      </x:c>
      <x:c r="G7" s="12" t="str">
        <x:v>연 1회</x:v>
      </x:c>
      <x:c r="H7" s="12" t="str"/>
    </x:row>
    <x:row r="8">
      <x:c r="A8" s="12" t="str">
        <x:v>cognitive_skill</x:v>
      </x:c>
      <x:c r="B8" s="12" t="str">
        <x:v>Sequence</x:v>
      </x:c>
      <x:c r="C8" s="12" t="str">
        <x:v>어떤 사고 기능</x:v>
      </x:c>
      <x:c r="D8" s="12" t="str">
        <x:v>Y</x:v>
      </x:c>
      <x:c r="E8" s="12" t="str">
        <x:v>낮음</x:v>
      </x:c>
      <x:c r="F8" s="12" t="str">
        <x:v>기능별 충분한 문항 수?</x:v>
      </x:c>
      <x:c r="G8" s="12" t="str">
        <x:v>분기</x:v>
      </x:c>
      <x:c r="H8" s="12" t="str"/>
    </x:row>
    <x:row r="9">
      <x:c r="A9" s="12" t="str">
        <x:v>student_answer</x:v>
      </x:c>
      <x:c r="B9" s="12" t="str">
        <x:v>word order</x:v>
      </x:c>
      <x:c r="C9" s="12" t="str">
        <x:v>원응답</x:v>
      </x:c>
      <x:c r="D9" s="12" t="str">
        <x:v>Y</x:v>
      </x:c>
      <x:c r="E9" s="12" t="str">
        <x:v>높음</x:v>
      </x:c>
      <x:c r="F9" s="12" t="str">
        <x:v>응답 저장 최소화?</x:v>
      </x:c>
      <x:c r="G9" s="12" t="str">
        <x:v>상시</x:v>
      </x:c>
      <x:c r="H9" s="12" t="str">
        <x:v>가명 ID 권장</x:v>
      </x:c>
    </x:row>
    <x:row r="10">
      <x:c r="A10" s="12" t="str">
        <x:v>evidence_raw</x:v>
      </x:c>
      <x:c r="B10" s="12" t="n">
        <x:v>75</x:v>
      </x:c>
      <x:c r="C10" s="12" t="str">
        <x:v>구조적 증거</x:v>
      </x:c>
      <x:c r="D10" s="12" t="str">
        <x:v>Y</x:v>
      </x:c>
      <x:c r="E10" s="12" t="str">
        <x:v>낮음</x:v>
      </x:c>
      <x:c r="F10" s="12" t="str">
        <x:v>보고수준과 일관?</x:v>
      </x:c>
      <x:c r="G10" s="12" t="str">
        <x:v>월</x:v>
      </x:c>
      <x:c r="H10" s="12" t="str"/>
    </x:row>
    <x:row r="11">
      <x:c r="A11" s="12" t="str">
        <x:v>response_level</x:v>
      </x:c>
      <x:c r="B11" s="12" t="n">
        <x:v>2</x:v>
      </x:c>
      <x:c r="C11" s="12" t="str">
        <x:v>0–3 수준</x:v>
      </x:c>
      <x:c r="D11" s="12" t="str">
        <x:v>Y</x:v>
      </x:c>
      <x:c r="E11" s="12" t="str">
        <x:v>낮음</x:v>
      </x:c>
      <x:c r="F11" s="12" t="str">
        <x:v>교사 판정과 일치?</x:v>
      </x:c>
      <x:c r="G11" s="12" t="str">
        <x:v>분기</x:v>
      </x:c>
      <x:c r="H11" s="12" t="str"/>
    </x:row>
    <x:row r="12">
      <x:c r="A12" s="12" t="str">
        <x:v>weighted_score</x:v>
      </x:c>
      <x:c r="B12" s="12" t="n">
        <x:v>67</x:v>
      </x:c>
      <x:c r="C12" s="12" t="str">
        <x:v>보고점수</x:v>
      </x:c>
      <x:c r="D12" s="12" t="str">
        <x:v>Y</x:v>
      </x:c>
      <x:c r="E12" s="12" t="str">
        <x:v>낮음</x:v>
      </x:c>
      <x:c r="F12" s="12" t="str">
        <x:v>경계값 적절성?</x:v>
      </x:c>
      <x:c r="G12" s="12" t="str">
        <x:v>분기</x:v>
      </x:c>
      <x:c r="H12" s="12" t="str">
        <x:v>미보정 점수</x:v>
      </x:c>
    </x:row>
    <x:row r="13">
      <x:c r="A13" s="12" t="str">
        <x:v>misconception_type</x:v>
      </x:c>
      <x:c r="B13" s="12" t="str">
        <x:v>local_action_order_gap</x:v>
      </x:c>
      <x:c r="C13" s="12" t="str">
        <x:v>오개념</x:v>
      </x:c>
      <x:c r="D13" s="12" t="str">
        <x:v>Y</x:v>
      </x:c>
      <x:c r="E13" s="12" t="str">
        <x:v>낮음</x:v>
      </x:c>
      <x:c r="F13" s="12" t="str">
        <x:v>오답 선택과 실제 사고 일치?</x:v>
      </x:c>
      <x:c r="G13" s="12" t="str">
        <x:v>분기</x:v>
      </x:c>
      <x:c r="H13" s="12" t="str">
        <x:v>표본 면담 권장</x:v>
      </x:c>
    </x:row>
    <x:row r="14">
      <x:c r="A14" s="12" t="str">
        <x:v>recommended_action</x:v>
      </x:c>
      <x:c r="B14" s="12" t="str">
        <x:v>Rebuild action sentence</x:v>
      </x:c>
      <x:c r="C14" s="12" t="str">
        <x:v>후속 학습</x:v>
      </x:c>
      <x:c r="D14" s="12" t="str">
        <x:v>Y</x:v>
      </x:c>
      <x:c r="E14" s="12" t="str">
        <x:v>낮음</x:v>
      </x:c>
      <x:c r="F14" s="12" t="str">
        <x:v>활동 후 향상?</x:v>
      </x:c>
      <x:c r="G14" s="12" t="str">
        <x:v>분기</x:v>
      </x:c>
      <x:c r="H14" s="12" t="str"/>
    </x:row>
    <x:row r="17">
      <x:c r="A17" s="9" t="str">
        <x:v>권위 자료와 적용 범위</x:v>
      </x:c>
    </x:row>
    <x:row r="18">
      <x:c r="A18" s="20" t="str">
        <x:v>자료</x:v>
      </x:c>
      <x:c r="B18" s="20" t="str">
        <x:v>핵심 기여</x:v>
      </x:c>
      <x:c r="C18" s="20" t="str">
        <x:v>현재 적용</x:v>
      </x:c>
      <x:c r="D18" s="20" t="str">
        <x:v>정당화하지 않는 것</x:v>
      </x:c>
      <x:c r="E18" s="20" t="str">
        <x:v>링크</x:v>
      </x:c>
      <x:c r="F18" s="20" t="str">
        <x:v>우선순위</x:v>
      </x:c>
      <x:c r="G18" s="20" t="str">
        <x:v>검토</x:v>
      </x:c>
      <x:c r="H18" s="20" t="str">
        <x:v>메모</x:v>
      </x:c>
    </x:row>
    <x:row r="19">
      <x:c r="A19" s="12" t="str">
        <x:v>Stein &amp; Glenn</x:v>
      </x:c>
      <x:c r="B19" s="12" t="str">
        <x:v>이야기 정보 구조·회상</x:v>
      </x:c>
      <x:c r="C19" s="12" t="str">
        <x:v>Story Element 구조화</x:v>
      </x:c>
      <x:c r="D19" s="12" t="str">
        <x:v>전체 읽기 이해의 단독 설명</x:v>
      </x:c>
      <x:c r="E19" s="12" t="str">
        <x:v>https://eric.ed.gov/?id=ED121474</x:v>
      </x:c>
      <x:c r="F19" s="12" t="str">
        <x:v>A</x:v>
      </x:c>
      <x:c r="G19" s="12" t="str">
        <x:v>연 1회</x:v>
      </x:c>
      <x:c r="H19" s="12" t="str"/>
    </x:row>
    <x:row r="20">
      <x:c r="A20" s="12" t="str">
        <x:v>Black &amp; Wilensky</x:v>
      </x:c>
      <x:c r="B20" s="12" t="str">
        <x:v>Story Grammar 한계</x:v>
      </x:c>
      <x:c r="C20" s="12" t="str">
        <x:v>단일 기준 사용 금지</x:v>
      </x:c>
      <x:c r="D20" s="12" t="str">
        <x:v>Story Grammar 폐기</x:v>
      </x:c>
      <x:c r="E20" s="12" t="str">
        <x:v>https://onlinelibrary.wiley.com/doi/abs/10.1207/s15516709cog0303_2</x:v>
      </x:c>
      <x:c r="F20" s="12" t="str">
        <x:v>A</x:v>
      </x:c>
      <x:c r="G20" s="12" t="str">
        <x:v>연 1회</x:v>
      </x:c>
      <x:c r="H20" s="12" t="str"/>
    </x:row>
    <x:row r="21">
      <x:c r="A21" s="12" t="str">
        <x:v>NAEP 2026</x:v>
      </x:c>
      <x:c r="B21" s="12" t="str">
        <x:v>통합·해석·분석 과정</x:v>
      </x:c>
      <x:c r="C21" s="12" t="str">
        <x:v>Cognitive Target 태그</x:v>
      </x:c>
      <x:c r="D21" s="12" t="str">
        <x:v>현재 점수 경계값</x:v>
      </x:c>
      <x:c r="E21" s="12" t="str">
        <x:v>https://www.nagb.gov/naep-subject-areas/reading/framework-archive/2026-reading-framework.html</x:v>
      </x:c>
      <x:c r="F21" s="12" t="str">
        <x:v>A</x:v>
      </x:c>
      <x:c r="G21" s="12" t="str">
        <x:v>개정 시</x:v>
      </x:c>
      <x:c r="H21" s="12" t="str"/>
    </x:row>
    <x:row r="22">
      <x:c r="A22" s="12" t="str">
        <x:v>AERA/APA/NCME Standards</x:v>
      </x:c>
      <x:c r="B22" s="12" t="str">
        <x:v>점수 해석·사용의 타당도</x:v>
      </x:c>
      <x:c r="C22" s="12" t="str">
        <x:v>검증 계획·제한 명시</x:v>
      </x:c>
      <x:c r="D22" s="12" t="str">
        <x:v>도구 자체의 타당화</x:v>
      </x:c>
      <x:c r="E22" s="12" t="str">
        <x:v>https://www.testingstandards.net/open-access-files.html</x:v>
      </x:c>
      <x:c r="F22" s="12" t="str">
        <x:v>A</x:v>
      </x:c>
      <x:c r="G22" s="12" t="str">
        <x:v>연 1회</x:v>
      </x:c>
      <x:c r="H22" s="12" t="str"/>
    </x:row>
    <x:row r="23">
      <x:c r="A23" s="12" t="str">
        <x:v>ETS Distractor Analysis</x:v>
      </x:c>
      <x:c r="B23" s="12" t="str">
        <x:v>오답 선택의 정보성</x:v>
      </x:c>
      <x:c r="C23" s="12" t="str">
        <x:v>선택지별 오개념 코딩</x:v>
      </x:c>
      <x:c r="D23" s="12" t="str">
        <x:v>특정 오답의 33/67 자동 정당화</x:v>
      </x:c>
      <x:c r="E23" s="12" t="str">
        <x:v>https://www.ets.org/research/policy_research_reports/publications/report/2019/kbgc.html</x:v>
      </x:c>
      <x:c r="F23" s="12" t="str">
        <x:v>B</x:v>
      </x:c>
      <x:c r="G23" s="12" t="str">
        <x:v>분기</x:v>
      </x:c>
      <x:c r="H23" s="12" t="str"/>
    </x:row>
    <x:row r="24">
      <x:c r="A24" s="12" t="str">
        <x:v>Masters PCM</x:v>
      </x:c>
      <x:c r="B24" s="12" t="str">
        <x:v>순서형 부분점수 모형</x:v>
      </x:c>
      <x:c r="C24" s="12" t="str">
        <x:v>향후 데이터 단계 참고</x:v>
      </x:c>
      <x:c r="D24" s="12" t="str">
        <x:v>현 점수의 IRT 보정</x:v>
      </x:c>
      <x:c r="E24" s="12" t="str">
        <x:v>https://www.cambridge.org/core/journals/psychometrika/article/abs/rasch-model-for-partial-credit-scoring/D7202CB6D2D1593889B1318DD6297E01</x:v>
      </x:c>
      <x:c r="F24" s="12" t="str">
        <x:v>C</x:v>
      </x:c>
      <x:c r="G24" s="12" t="str">
        <x:v>데이터 충분 시</x:v>
      </x:c>
      <x:c r="H24" s="12" t="str"/>
    </x:row>
  </x:sheetData>
  <x:mergeCells>
    <x:mergeCell ref="A1:H1"/>
    <x:mergeCell ref="A2:H2"/>
    <x:mergeCell ref="A17:H17"/>
  </x:mergeCells>
  <x:pageMargins left="0.7" right="0.7" top="0.75" bottom="0.75" header="0.3" footer="0.3"/>
</x:worksheet>
</file>